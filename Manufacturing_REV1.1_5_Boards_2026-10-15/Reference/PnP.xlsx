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860afda1647e4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HorizontalScroll="0"/>
  </bookViews>
  <sheets>
    <sheet name="PnP" sheetId="1" r:id="R99aa4a8b720e459d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"/>
    <x:numFmt numFmtId="202" formatCode="$0.0000"/>
    <x:numFmt numFmtId="203" formatCode="$#,##0.00"/>
  </x:numFmts>
  <x:fonts count="7">
    <x:font>
      <x:sz val="11"/>
      <x:name val="Carlito"/>
    </x:font>
    <x:font>
      <x:sz val="10"/>
      <x:color rgb="FF25354A"/>
      <x:name val="Arial"/>
    </x:font>
    <x:font>
      <x:b/>
      <x:sz val="15"/>
      <x:color rgb="FF25354A"/>
      <x:name val="Arial"/>
    </x:font>
    <x:font>
      <x:b/>
      <x:sz val="10"/>
      <x:color rgb="FF174EA6"/>
      <x:name val="Arial"/>
    </x:font>
    <x:font>
      <x:sz val="10"/>
      <x:color rgb="FF754B00"/>
      <x:name val="Arial"/>
    </x:font>
    <x:font>
      <x:b/>
      <x:sz val="10"/>
      <x:color rgb="FFFFFFFF"/>
      <x:name val="Arial"/>
    </x:font>
    <x:font>
      <x:b/>
      <x:sz val="10"/>
      <x:color rgb="FF25354A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E7F0FF"/>
      </x:patternFill>
    </x:fill>
    <x:fill>
      <x:patternFill patternType="solid">
        <x:fgColor rgb="FFFFF1D6"/>
      </x:patternFill>
    </x:fill>
    <x:fill>
      <x:patternFill patternType="solid">
        <x:fgColor rgb="FF25354A"/>
      </x:patternFill>
    </x:fill>
    <x:fill>
      <x:patternFill patternType="solid">
        <x:fgColor rgb="FF225F78"/>
      </x:patternFill>
    </x:fill>
    <x:fill>
      <x:patternFill patternType="solid">
        <x:fgColor rgb="FFE9F3F7"/>
      </x:patternFill>
    </x:fill>
    <x:fill>
      <x:patternFill patternType="solid">
        <x:fgColor rgb="FF536D35"/>
      </x:patternFill>
    </x:fill>
    <x:fill>
      <x:patternFill patternType="solid">
        <x:fgColor rgb="FFF0F5E9"/>
      </x:patternFill>
    </x:fill>
    <x:fill>
      <x:patternFill patternType="solid">
        <x:fgColor rgb="FF825B25"/>
      </x:patternFill>
    </x:fill>
    <x:fill>
      <x:patternFill patternType="solid">
        <x:fgColor rgb="FFFBF2E6"/>
      </x:patternFill>
    </x:fill>
    <x:fill>
      <x:patternFill patternType="solid">
        <x:fgColor rgb="FFE9EDF2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right" vertical="center" wrapText="1"/>
    </x:xf>
    <x:xf numFmtId="201" fontId="1" fillId="6" borderId="0" xfId="0" applyNumberFormat="1" applyFont="1" applyFill="1" applyBorder="1" applyAlignment="1">
      <x:alignment horizontal="right" vertical="center" wrapText="1"/>
    </x:xf>
    <x:xf numFmtId="202" fontId="1" fillId="6" borderId="0" xfId="0" applyNumberFormat="1" applyFont="1" applyFill="1" applyBorder="1" applyAlignment="1">
      <x:alignment horizontal="right" vertical="center" wrapText="1"/>
    </x:xf>
    <x:xf numFmtId="203" fontId="1" fillId="6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3" fontId="5" fillId="5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right" vertical="center" wrapText="1"/>
    </x:xf>
    <x:xf numFmtId="201" fontId="1" fillId="8" borderId="0" xfId="0" applyNumberFormat="1" applyFont="1" applyFill="1" applyBorder="1" applyAlignment="1">
      <x:alignment horizontal="right" vertical="center" wrapText="1"/>
    </x:xf>
    <x:xf numFmtId="202" fontId="1" fillId="8" borderId="0" xfId="0" applyNumberFormat="1" applyFont="1" applyFill="1" applyBorder="1" applyAlignment="1">
      <x:alignment horizontal="right" vertical="center" wrapText="1"/>
    </x:xf>
    <x:xf numFmtId="203" fontId="1" fillId="8" borderId="0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203" fontId="5" fillId="7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right" vertical="center" wrapText="1"/>
    </x:xf>
    <x:xf numFmtId="201" fontId="1" fillId="10" borderId="0" xfId="0" applyNumberFormat="1" applyFont="1" applyFill="1" applyBorder="1" applyAlignment="1">
      <x:alignment horizontal="right" vertical="center" wrapText="1"/>
    </x:xf>
    <x:xf numFmtId="202" fontId="1" fillId="10" borderId="0" xfId="0" applyNumberFormat="1" applyFont="1" applyFill="1" applyBorder="1" applyAlignment="1">
      <x:alignment horizontal="right" vertical="center" wrapText="1"/>
    </x:xf>
    <x:xf numFmtId="203" fontId="1" fillId="10" borderId="0" xfId="0" applyNumberFormat="1" applyFont="1" applyFill="1" applyBorder="1" applyAlignment="1">
      <x:alignment horizontal="right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203" fontId="5" fillId="9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203" fontId="1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203" fontId="6" fillId="11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ce8ac49fa4190" /><Relationship Type="http://schemas.openxmlformats.org/officeDocument/2006/relationships/theme" Target="/xl/theme/theme1.xml" Id="Rf1bc2c5b47f64251" /><Relationship Type="http://schemas.openxmlformats.org/officeDocument/2006/relationships/sharedStrings" Target="/xl/sharedStrings.xml" Id="R9895373f1ab14993" /><Relationship Type="http://schemas.openxmlformats.org/officeDocument/2006/relationships/worksheet" Target="/xl/worksheets/sheet1.xml" Id="R99aa4a8b720e45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purchase0" Type="http://schemas.openxmlformats.org/officeDocument/2006/relationships/hyperlink" Target="https://www.lcsc.com/product-detail/C91185.html" TargetMode="External" /><ns0:Relationship Id="purchase1" Type="http://schemas.openxmlformats.org/officeDocument/2006/relationships/hyperlink" Target="https://www.lcsc.com/product-detail/C89632.html" TargetMode="External" /><ns0:Relationship Id="purchase2" Type="http://schemas.openxmlformats.org/officeDocument/2006/relationships/hyperlink" Target="https://www.lcsc.com/product-detail/C3039694.html" TargetMode="External" /><ns0:Relationship Id="purchase3" Type="http://schemas.openxmlformats.org/officeDocument/2006/relationships/hyperlink" Target="https://www.lcsc.com/product-detail/C385885.html" TargetMode="External" /><ns0:Relationship Id="purchase4" Type="http://schemas.openxmlformats.org/officeDocument/2006/relationships/hyperlink" Target="https://www.lcsc.com/product-detail/C49678.html" TargetMode="External" /><ns0:Relationship Id="purchase5" Type="http://schemas.openxmlformats.org/officeDocument/2006/relationships/hyperlink" Target="https://www.lcsc.com/product-detail/C28092.html" TargetMode="External" /><ns0:Relationship Id="purchase6" Type="http://schemas.openxmlformats.org/officeDocument/2006/relationships/hyperlink" Target="https://www.lcsc.com/product-detail/plug_changzhou-amass-elec-xt60pw-f_C428722.html" TargetMode="External" /><ns0:Relationship Id="purchase7" Type="http://schemas.openxmlformats.org/officeDocument/2006/relationships/hyperlink" Target="https://www.lcsc.com/product-detail/C51048252.html" TargetMode="External" /><ns0:Relationship Id="purchase8" Type="http://schemas.openxmlformats.org/officeDocument/2006/relationships/hyperlink" Target="https://www.lcsc.com/product-detail/C2933290.html" TargetMode="External" /><ns0:Relationship Id="purchase9" Type="http://schemas.openxmlformats.org/officeDocument/2006/relationships/hyperlink" Target="https://www.lcsc.com/product-detail/C26112.html" TargetMode="External" /><ns0:Relationship Id="purchase10" Type="http://schemas.openxmlformats.org/officeDocument/2006/relationships/hyperlink" Target="https://www.lcsc.com/product-detail/C17560.html" TargetMode="External" /><ns0:Relationship Id="purchase11" Type="http://schemas.openxmlformats.org/officeDocument/2006/relationships/hyperlink" Target="https://www.lcsc.com/product-detail/C17797.html" TargetMode="External" /><ns0:Relationship Id="purchase12" Type="http://schemas.openxmlformats.org/officeDocument/2006/relationships/hyperlink" Target="https://www.lcsc.com/product-detail/C17539.html" TargetMode="External" /><ns0:Relationship Id="purchase13" Type="http://schemas.openxmlformats.org/officeDocument/2006/relationships/hyperlink" Target="https://www.lcsc.com/product-detail/C17415.html" TargetMode="External" /><ns0:Relationship Id="purchase14" Type="http://schemas.openxmlformats.org/officeDocument/2006/relationships/hyperlink" Target="https://www.lcsc.com/product-detail/C17673.html" TargetMode="External" /><ns0:Relationship Id="purchase15" Type="http://schemas.openxmlformats.org/officeDocument/2006/relationships/hyperlink" Target="https://www.lcsc.com/product-detail/C2692700.html" TargetMode="External" /><ns0:Relationship Id="purchase16" Type="http://schemas.openxmlformats.org/officeDocument/2006/relationships/hyperlink" Target="https://www.lcsc.com/product-detail/C17513.html" TargetMode="External" /><ns0:Relationship Id="purchase17" Type="http://schemas.openxmlformats.org/officeDocument/2006/relationships/hyperlink" Target="https://www.lcsc.com/product-detail/C17747.html" TargetMode="External" /><ns0:Relationship Id="purchase18" Type="http://schemas.openxmlformats.org/officeDocument/2006/relationships/hyperlink" Target="https://www.lcsc.com/product-detail/C3000557.html" TargetMode="External" /><ns0:Relationship Id="purchase19" Type="http://schemas.openxmlformats.org/officeDocument/2006/relationships/hyperlink" Target="https://www.lcsc.com/product-detail/C17414.html" TargetMode="External" /><ns0:Relationship Id="purchase20" Type="http://schemas.openxmlformats.org/officeDocument/2006/relationships/hyperlink" Target="https://www.lcsc.com/product-detail/C17408.html" TargetMode="External" /><ns0:Relationship Id="purchase21" Type="http://schemas.openxmlformats.org/officeDocument/2006/relationships/hyperlink" Target="https://www.lcsc.com/product-detail/C2868250.html" TargetMode="External" /><ns0:Relationship Id="purchase22" Type="http://schemas.openxmlformats.org/officeDocument/2006/relationships/hyperlink" Target="https://www.digikey.com/en/products/detail/tdk-corporation/C2012C0G2A223J125AC/5023347" TargetMode="External" /><ns0:Relationship Id="purchase23" Type="http://schemas.openxmlformats.org/officeDocument/2006/relationships/hyperlink" Target="https://www.digikey.com/en/products/detail/yageo/CC0603KRX7R9BB104/2103082" TargetMode="External" /><ns0:Relationship Id="purchase24" Type="http://schemas.openxmlformats.org/officeDocument/2006/relationships/hyperlink" Target="https://www.digikey.com/en/products/detail/epcos-tdk-electronics/B32529C0105J000/592697" TargetMode="External" /><ns0:Relationship Id="purchase25" Type="http://schemas.openxmlformats.org/officeDocument/2006/relationships/hyperlink" Target="https://www.digikey.com/en/products/detail/stmicroelectronics/STPST10H100SB-TR/18700338" TargetMode="External" /><ns0:Relationship Id="purchase26" Type="http://schemas.openxmlformats.org/officeDocument/2006/relationships/hyperlink" Target="https://www.digikey.com/en/products/detail/bourns-inc/SMBJ18CA/2254206" TargetMode="External" /><ns0:Relationship Id="purchase27" Type="http://schemas.openxmlformats.org/officeDocument/2006/relationships/hyperlink" Target="https://www.digikey.com/en/products/detail/keystone-electronics/3568/2137306" TargetMode="External" /><ns0:Relationship Id="purchase28" Type="http://schemas.openxmlformats.org/officeDocument/2006/relationships/hyperlink" Target="https://www.digikey.com/en/products/detail/schurter-inc/3-140-177/20532467" TargetMode="External" /><ns0:Relationship Id="purchase29" Type="http://schemas.openxmlformats.org/officeDocument/2006/relationships/hyperlink" Target="https://www.digikey.com/en/products/detail/infineon-technologies/ISC015N06NM5LF2ATMA1/22157619" TargetMode="External" /><ns0:Relationship Id="purchase30" Type="http://schemas.openxmlformats.org/officeDocument/2006/relationships/hyperlink" Target="https://www.digikey.com/en/products/detail/infineon-technologies/BSC070N10NS5ATMA1/5413723" TargetMode="External" /><ns0:Relationship Id="purchase31" Type="http://schemas.openxmlformats.org/officeDocument/2006/relationships/hyperlink" Target="https://www.digikey.com/en/products/detail/ohmite/FC4L64R005FER/3476128" TargetMode="External" /><ns0:Relationship Id="purchase32" Type="http://schemas.openxmlformats.org/officeDocument/2006/relationships/hyperlink" Target="https://www.digikey.com/en/products/detail/vishay-dale/CRCW25121K00FKEGHP/2222612" TargetMode="External" /><ns0:Relationship Id="purchase33" Type="http://schemas.openxmlformats.org/officeDocument/2006/relationships/hyperlink" Target="https://www.digikey.com/en/products/detail/vishay-dale/CRCW25121R00FKEGHP/2222582" TargetMode="External" /><ns0:Relationship Id="purchase34" Type="http://schemas.openxmlformats.org/officeDocument/2006/relationships/hyperlink" Target="https://www.digikey.com/en/products/detail/analog-devices-inc/LTC4368HMS-1-WTRPBF/12385846" TargetMode="External" /><ns0:Relationship Id="purchase35" Type="http://schemas.openxmlformats.org/officeDocument/2006/relationships/hyperlink" Target="https://www.digikey.com/en/products/detail/analog-devices-inc/LT3010EMS8E-TRPBF/960041" TargetMode="External" /><ns0:Relationship Id="purchase36" Type="http://schemas.openxmlformats.org/officeDocument/2006/relationships/hyperlink" Target="https://www.digikey.com/en/products/detail/nexperia-usa-inc/74AUP1G07GW-125/1300720" TargetMode="External" /><ns0:Relationship Id="purchase37" Type="http://schemas.openxmlformats.org/officeDocument/2006/relationships/hyperlink" Target="https://www.digikey.com/en/products/detail/analog-devices-inc/LTC4359IMS8-TRPBF/3306830" TargetMode="External" /><ns0:Relationship Id="purchase38" Type="http://schemas.openxmlformats.org/officeDocument/2006/relationships/hyperlink" Target="https://www.digikey.com/en/products/detail/littelfuse-inc/029707-5WXNV/146586" TargetMode="External" /><ns0:Relationship Id="purchase39" Type="http://schemas.openxmlformats.org/officeDocument/2006/relationships/hyperlink" Target="https://www.newark.com/jst-japan-solderless-terminals/bm04b-ghs-tbt-lf-sn/header-1-25mm-4way-smt-vertical/dp/73M9202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 zoomScale="85"/>
  </sheetViews>
  <sheetFormatPr defaultRowHeight="15"/>
  <cols>
    <col min="1" max="1" width="16" hidden="0" customWidth="1"/>
    <col min="2" max="2" width="25" hidden="0" customWidth="1"/>
    <col min="3" max="3" width="30" hidden="0" customWidth="1"/>
    <col min="4" max="4" width="8" hidden="0" customWidth="1"/>
    <col min="5" max="5" width="10" hidden="0" customWidth="1"/>
    <col min="6" max="6" width="11" hidden="0" customWidth="1"/>
    <col min="7" max="7" width="12" hidden="0" customWidth="1"/>
    <col min="8" max="8" width="12" hidden="0" customWidth="1"/>
    <col min="9" max="9" width="12" hidden="0" customWidth="1"/>
    <col min="10" max="10" width="15" hidden="0" customWidth="1"/>
    <col min="11" max="11" width="12" hidden="0" customWidth="1"/>
  </cols>
  <sheetData>
    <row r="1" ht="29" customHeight="1">
      <c r="A1" s="3" t="str">
        <v>OSIRIS PDB REV1.1 — PnP PROCUREMENT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0" customHeight="1">
      <c r="A2" s="2" t="str">
        <v>Grouped by distributor • USD • stock/price snapshot: Oct 15, 2026 • organized Oct 19, 2026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>
      <c r="A3" s="2" t="str">
        <v>Boards</v>
      </c>
      <c r="B3" s="6" t="n">
        <v>5</v>
      </c>
      <c r="C3" s="2" t="str">
        <v>IC / other extra</v>
      </c>
      <c r="D3" s="8" t="n">
        <v>0.2</v>
      </c>
      <c r="E3" s="2" t="str">
        <v>Passive min.</v>
      </c>
      <c r="F3" s="6" t="n">
        <v>100</v>
      </c>
      <c r="G3" s="2" t="str">
        <v>Passive × need</v>
      </c>
      <c r="H3" s="6" t="n">
        <v>10</v>
      </c>
      <c r="I3" s="2" t="str">
        <v>Blue cells: editable inputs</v>
      </c>
      <c r="J3" s="2"/>
      <c r="K3" s="2"/>
    </row>
    <row r="4" ht="23" customHeight="1">
      <c r="A4" s="10" t="str">
        <v>Distributor groups ranked by lines with stock covering the order quantity. Recheck stock before paying.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ht="20" customHeight="1">
      <c r="A5" s="2" t="str">
        <v>Purchased parts (includes spares)</v>
      </c>
      <c r="B5" s="2"/>
      <c r="C5" s="2"/>
      <c r="D5" s="54" t="n">
        <f>SUM(H10,H11,H12,H13,H14,H15,H16,H17,H18,H19,H20,H21,H22,H23,H24,H25,H26,H27,H28,H29,H30,H31,H33,H34,H35,H36,H37,H38,H39,H40,H41,H42,H43,H44,H45,H46,H47,H48,H49,H51)</f>
        <v>785.7914000000001</v>
      </c>
      <c r="E5" s="54"/>
      <c r="F5" s="2" t="str">
        <v>Fitted parts / board</v>
      </c>
      <c r="G5" s="2"/>
      <c r="H5" s="54" t="n">
        <f>SUM(G10,G11,G12,G13,G14,G15,G16,G17,G18,G19,G20,G21,G22,G23,G24,G25,G26,G27,G28,G29,G30,G31,G33,G34,G35,G36,G37,G38,G39,G40,G41,G42,G43,G44,G45,G46,G47,G48,G49,G51)</f>
        <v>57.2316</v>
      </c>
      <c r="I5" s="2" t="str">
        <v>Full build cost</v>
      </c>
      <c r="J5" s="2"/>
      <c r="K5" s="54" t="str">
        <f>K69</f>
        <v>Quote needed</v>
      </c>
    </row>
    <row r="6" ht="20" customHeight="1">
      <c r="A6" s="2" t="str">
        <v>Purchased parts / board</v>
      </c>
      <c r="B6" s="2"/>
      <c r="C6" s="2"/>
      <c r="D6" s="54" t="n">
        <f>D5/$B$3</f>
        <v>157.15828000000002</v>
      </c>
      <c r="E6" s="54"/>
      <c r="F6" s="2" t="str">
        <v>Assembly labor / board</v>
      </c>
      <c r="G6" s="2"/>
      <c r="H6" s="54" t="str">
        <f>IF(ISNUMBER(I59),I59/$B$3,"Quote needed")</f>
        <v>Quote needed</v>
      </c>
      <c r="I6" s="2" t="str">
        <v>All-in / assembled board</v>
      </c>
      <c r="J6" s="2"/>
      <c r="K6" s="54" t="str">
        <f>K70</f>
        <v>Quote needed</v>
      </c>
    </row>
    <row r="7" ht="20" customHeight="1">
      <c r="A7" s="2" t="str">
        <v>Passives: MAX(100, 10 × fitted need). Others: +20%. Supplier pack multiples and existing overrides retained.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32" customHeight="1">
      <c r="A8" s="14" t="str">
        <v>References</v>
      </c>
      <c r="B8" s="14" t="str">
        <v>Part / manufacturer</v>
      </c>
      <c r="C8" s="14" t="str">
        <v>Exact part number</v>
      </c>
      <c r="D8" s="14" t="str">
        <v>Qty / PCB</v>
      </c>
      <c r="E8" s="14" t="str">
        <v>Order qty</v>
      </c>
      <c r="F8" s="14" t="str">
        <v>Unit USD</v>
      </c>
      <c r="G8" s="14" t="str">
        <v>Fitted / PCB USD</v>
      </c>
      <c r="H8" s="14" t="str">
        <v>Order USD</v>
      </c>
      <c r="I8" s="14" t="str">
        <v>Stock</v>
      </c>
      <c r="J8" s="14" t="str">
        <v>Availability</v>
      </c>
      <c r="K8" s="14" t="str">
        <v>Purchase</v>
      </c>
    </row>
    <row r="9" ht="25" customHeight="1">
      <c r="A9" s="16" t="str">
        <v>LCSC  |  22/22 lines covered by recorded stock</v>
      </c>
      <c r="B9" s="16"/>
      <c r="C9" s="16"/>
      <c r="D9" s="16"/>
      <c r="E9" s="16"/>
      <c r="F9" s="16"/>
      <c r="G9" s="16"/>
      <c r="H9" s="27" t="n">
        <f>SUM(H10,H11,H12,H13,H14,H15,H16,H17,H18,H19,H20,H21,H22,H23,H24,H25,H26,H27,H28,H29,H30,H31)</f>
        <v>242.7094</v>
      </c>
      <c r="I9" s="16" t="str">
        <v>Distributor subtotal</v>
      </c>
      <c r="J9" s="16"/>
      <c r="K9" s="16"/>
    </row>
    <row r="10" ht="34" customHeight="1">
      <c r="A10" s="18" t="str">
        <v>C2,C18</v>
      </c>
      <c r="B10" s="18" t="str">
        <v>1U0
YAGEO</v>
      </c>
      <c r="C10" s="18" t="str">
        <v>CC0805KKX7R9BB105</v>
      </c>
      <c r="D10" s="20" t="n">
        <v>2</v>
      </c>
      <c r="E10" s="20" t="n">
        <f>CEILING(MAX(MAX($F$3,$H$3*D10*$B$3),0),20)</f>
        <v>100</v>
      </c>
      <c r="F10" s="21" t="n">
        <v>0.033</v>
      </c>
      <c r="G10" s="22" t="n">
        <f>IF(ISNUMBER(F10),D10*F10,"")</f>
        <v>0.066</v>
      </c>
      <c r="H10" s="22" t="n">
        <f>IF(ISNUMBER(F10),E10*F10,"")</f>
        <v>3.3000000000000003</v>
      </c>
      <c r="I10" s="20" t="n">
        <v>598840</v>
      </c>
      <c r="J10" s="19" t="str">
        <f>IF(ISNUMBER(I10),IF(I10&gt;=E10,"Available","Short stock"),"Unconfirmed")</f>
        <v>Available</v>
      </c>
      <c r="K10" s="26" t="str">
        <v>View part</v>
      </c>
    </row>
    <row r="11" ht="34" customHeight="1">
      <c r="A11" s="18" t="str">
        <v>C4,C9</v>
      </c>
      <c r="B11" s="18" t="str">
        <v>10 uF 50 V X7R 10%
Samsung Electro-Mechanics</v>
      </c>
      <c r="C11" s="18" t="str">
        <v>CL31B106KBHNNNE</v>
      </c>
      <c r="D11" s="20" t="n">
        <v>2</v>
      </c>
      <c r="E11" s="20" t="n">
        <f>CEILING(MAX(MAX($F$3,$H$3*D11*$B$3),0),5)</f>
        <v>100</v>
      </c>
      <c r="F11" s="21" t="n">
        <v>0.2143</v>
      </c>
      <c r="G11" s="22" t="n">
        <f>IF(ISNUMBER(F11),D11*F11,"")</f>
        <v>0.4286</v>
      </c>
      <c r="H11" s="22" t="n">
        <f>IF(ISNUMBER(F11),E11*F11,"")</f>
        <v>21.43</v>
      </c>
      <c r="I11" s="20" t="n">
        <v>50165</v>
      </c>
      <c r="J11" s="19" t="str">
        <f>IF(ISNUMBER(I11),IF(I11&gt;=E11,"Available","Short stock"),"Unconfirmed")</f>
        <v>Available</v>
      </c>
      <c r="K11" s="26" t="str">
        <v>View part</v>
      </c>
    </row>
    <row r="12" ht="34" customHeight="1">
      <c r="A12" s="18" t="str">
        <v>C6</v>
      </c>
      <c r="B12" s="18" t="str">
        <v>10 uF 25 V X7R 10%
Samsung Electro-Mechanics</v>
      </c>
      <c r="C12" s="18" t="str">
        <v>CL21B106KAYQNNE</v>
      </c>
      <c r="D12" s="20" t="n">
        <v>1</v>
      </c>
      <c r="E12" s="20" t="n">
        <f>CEILING(MAX(MAX($F$3,$H$3*D12*$B$3),0),5)</f>
        <v>100</v>
      </c>
      <c r="F12" s="21" t="n">
        <v>0.0905</v>
      </c>
      <c r="G12" s="22" t="n">
        <f>IF(ISNUMBER(F12),D12*F12,"")</f>
        <v>0.0905</v>
      </c>
      <c r="H12" s="22" t="n">
        <f>IF(ISNUMBER(F12),E12*F12,"")</f>
        <v>9.049999999999999</v>
      </c>
      <c r="I12" s="20" t="n">
        <v>167075</v>
      </c>
      <c r="J12" s="19" t="str">
        <f>IF(ISNUMBER(I12),IF(I12&gt;=E12,"Available","Short stock"),"Unconfirmed")</f>
        <v>Available</v>
      </c>
      <c r="K12" s="26" t="str">
        <v>View part</v>
      </c>
    </row>
    <row r="13" ht="34" customHeight="1">
      <c r="A13" s="18" t="str">
        <v>C17,C20</v>
      </c>
      <c r="B13" s="18" t="str">
        <v>220 uF 50 V hybrid
Panasonic</v>
      </c>
      <c r="C13" s="18" t="str">
        <v>EEHZS1H221P</v>
      </c>
      <c r="D13" s="20" t="n">
        <v>2</v>
      </c>
      <c r="E13" s="20" t="n">
        <f>CEILING(MAX(MAX($F$3,$H$3*D13*$B$3),0),1)</f>
        <v>100</v>
      </c>
      <c r="F13" s="21" t="n">
        <f>IF(E13&gt;=1000,0.8678,IF(E13&gt;=500,0.8991,IF(E13&gt;=250,0.9714,IF(E13&gt;=30,1.2492,IF(E13&gt;=10,1.3905,1.6518)))))</f>
        <v>1.2492</v>
      </c>
      <c r="G13" s="22" t="n">
        <f>IF(ISNUMBER(F13),D13*F13,"")</f>
        <v>2.4984</v>
      </c>
      <c r="H13" s="22" t="n">
        <f>IF(ISNUMBER(F13),E13*F13,"")</f>
        <v>124.92000000000002</v>
      </c>
      <c r="I13" s="20" t="n">
        <v>470</v>
      </c>
      <c r="J13" s="19" t="str">
        <f>IF(ISNUMBER(I13),IF(I13&gt;=E13,"Available","Short stock"),"Unconfirmed")</f>
        <v>Available</v>
      </c>
      <c r="K13" s="26" t="str">
        <v>View part</v>
      </c>
    </row>
    <row r="14" ht="34" customHeight="1">
      <c r="A14" s="18" t="str">
        <v>C19</v>
      </c>
      <c r="B14" s="18" t="str">
        <v>100n 50V X7R
YAGEO</v>
      </c>
      <c r="C14" s="18" t="str">
        <v>CC0805KRX7R9BB104</v>
      </c>
      <c r="D14" s="20" t="n">
        <v>1</v>
      </c>
      <c r="E14" s="20" t="n">
        <f>CEILING(MAX(MAX($F$3,$H$3*D14*$B$3),0),20)</f>
        <v>100</v>
      </c>
      <c r="F14" s="21" t="n">
        <v>0.0191</v>
      </c>
      <c r="G14" s="22" t="n">
        <f>IF(ISNUMBER(F14),D14*F14,"")</f>
        <v>0.0191</v>
      </c>
      <c r="H14" s="22" t="n">
        <f>IF(ISNUMBER(F14),E14*F14,"")</f>
        <v>1.91</v>
      </c>
      <c r="I14" s="20" t="n">
        <v>9633120</v>
      </c>
      <c r="J14" s="19" t="str">
        <f>IF(ISNUMBER(I14),IF(I14&gt;=E14,"Available","Short stock"),"Unconfirmed")</f>
        <v>Available</v>
      </c>
      <c r="K14" s="26" t="str">
        <v>View part</v>
      </c>
    </row>
    <row r="15" ht="34" customHeight="1">
      <c r="A15" s="18" t="str">
        <v>D1,D4</v>
      </c>
      <c r="B15" s="18" t="str">
        <v>SMAJ24CA
RUILON</v>
      </c>
      <c r="C15" s="18" t="str">
        <v>SMAJ24CA</v>
      </c>
      <c r="D15" s="20" t="n">
        <v>2</v>
      </c>
      <c r="E15" s="20" t="n">
        <f>CEILING(D15*$B$3*(1+$D$3),10)</f>
        <v>20</v>
      </c>
      <c r="F15" s="21" t="n">
        <f>IF(E15&gt;=10000,0.0403,IF(E15&gt;=5000,0.0427,IF(E15&gt;=1000,0.0474,IF(E15&gt;=300,0.0533,IF(E15&gt;=100,0.0611,0.0769)))))</f>
        <v>0.0769</v>
      </c>
      <c r="G15" s="22" t="n">
        <f>IF(ISNUMBER(F15),D15*F15,"")</f>
        <v>0.1538</v>
      </c>
      <c r="H15" s="22" t="n">
        <f>IF(ISNUMBER(F15),E15*F15,"")</f>
        <v>1.5379999999999998</v>
      </c>
      <c r="I15" s="20" t="n">
        <v>3460</v>
      </c>
      <c r="J15" s="19" t="str">
        <f>IF(ISNUMBER(I15),IF(I15&gt;=E15,"Available","Short stock"),"Unconfirmed")</f>
        <v>Available</v>
      </c>
      <c r="K15" s="26" t="str">
        <v>View part</v>
      </c>
    </row>
    <row r="16" ht="34" customHeight="1">
      <c r="A16" s="18" t="str">
        <v>J1,J3,J4</v>
      </c>
      <c r="B16" s="18" t="str">
        <v>XT60PW-F
AMASS</v>
      </c>
      <c r="C16" s="18" t="str">
        <v>XT60PW-F</v>
      </c>
      <c r="D16" s="20" t="n">
        <v>3</v>
      </c>
      <c r="E16" s="20" t="n">
        <f>CEILING(MAX(ROUNDUP(D16*$B$3*(1+$D$3),0),0),1)</f>
        <v>18</v>
      </c>
      <c r="F16" s="21" t="n">
        <v>0.6464</v>
      </c>
      <c r="G16" s="22" t="n">
        <f>IF(ISNUMBER(F16),D16*F16,"")</f>
        <v>1.9392</v>
      </c>
      <c r="H16" s="22" t="n">
        <f>IF(ISNUMBER(F16),E16*F16,"")</f>
        <v>11.6352</v>
      </c>
      <c r="I16" s="20" t="n">
        <v>35056</v>
      </c>
      <c r="J16" s="19" t="str">
        <f>IF(ISNUMBER(I16),IF(I16&gt;=E16,"Available","Short stock"),"Unconfirmed")</f>
        <v>Available</v>
      </c>
      <c r="K16" s="26" t="str">
        <v>View part</v>
      </c>
    </row>
    <row r="17" ht="34" customHeight="1">
      <c r="A17" s="18" t="str">
        <v>R1</v>
      </c>
      <c r="B17" s="18" t="str">
        <v>237k
FOJAN</v>
      </c>
      <c r="C17" s="18" t="str">
        <v>FRC0805F2373TS</v>
      </c>
      <c r="D17" s="20" t="n">
        <v>1</v>
      </c>
      <c r="E17" s="20" t="n">
        <f>CEILING(MAX(MAX($F$3,$H$3*D17*$B$3),0),100)</f>
        <v>100</v>
      </c>
      <c r="F17" s="21" t="n">
        <f>IF(E17&gt;=50000,0.0014,IF(E17&gt;=10000,0.0016,IF(E17&gt;=5000,0.0018,IF(E17&gt;=1000,0.0022,0.0028))))</f>
        <v>0.0028</v>
      </c>
      <c r="G17" s="22" t="n">
        <f>IF(ISNUMBER(F17),D17*F17,"")</f>
        <v>0.0028</v>
      </c>
      <c r="H17" s="22" t="n">
        <f>IF(ISNUMBER(F17),E17*F17,"")</f>
        <v>0.27999999999999997</v>
      </c>
      <c r="I17" s="20" t="n">
        <v>9000</v>
      </c>
      <c r="J17" s="19" t="str">
        <f>IF(ISNUMBER(I17),IF(I17&gt;=E17,"Available","Short stock"),"Unconfirmed")</f>
        <v>Available</v>
      </c>
      <c r="K17" s="26" t="str">
        <v>View part</v>
      </c>
    </row>
    <row r="18" ht="34" customHeight="1">
      <c r="A18" s="18" t="str">
        <v>R2</v>
      </c>
      <c r="B18" s="18" t="str">
        <v>11k8
FOJAN</v>
      </c>
      <c r="C18" s="18" t="str">
        <v>FRC0805F1182TS</v>
      </c>
      <c r="D18" s="20" t="n">
        <v>1</v>
      </c>
      <c r="E18" s="20" t="n">
        <f>CEILING(MAX(MAX($F$3,$H$3*D18*$B$3),0),100)</f>
        <v>100</v>
      </c>
      <c r="F18" s="21" t="n">
        <f>IF(E18&gt;=50000,0.0013,IF(E18&gt;=10000,0.0014,IF(E18&gt;=5000,0.0016,IF(E18&gt;=1000,0.002,0.0025))))</f>
        <v>0.0025</v>
      </c>
      <c r="G18" s="22" t="n">
        <f>IF(ISNUMBER(F18),D18*F18,"")</f>
        <v>0.0025</v>
      </c>
      <c r="H18" s="22" t="n">
        <f>IF(ISNUMBER(F18),E18*F18,"")</f>
        <v>0.25</v>
      </c>
      <c r="I18" s="20" t="n">
        <v>27200</v>
      </c>
      <c r="J18" s="19" t="str">
        <f>IF(ISNUMBER(I18),IF(I18&gt;=E18,"Available","Short stock"),"Unconfirmed")</f>
        <v>Available</v>
      </c>
      <c r="K18" s="26" t="str">
        <v>View part</v>
      </c>
    </row>
    <row r="19" ht="34" customHeight="1">
      <c r="A19" s="18" t="str">
        <v>R3</v>
      </c>
      <c r="B19" s="18" t="str">
        <v>2M0
UNI-ROYAL</v>
      </c>
      <c r="C19" s="18" t="str">
        <v>0805W8F2004T5E</v>
      </c>
      <c r="D19" s="20" t="n">
        <v>1</v>
      </c>
      <c r="E19" s="20" t="n">
        <f>CEILING(MAX(MAX($F$3,$H$3*D19*$B$3),0),100)</f>
        <v>100</v>
      </c>
      <c r="F19" s="21" t="n">
        <v>0.007</v>
      </c>
      <c r="G19" s="22" t="n">
        <f>IF(ISNUMBER(F19),D19*F19,"")</f>
        <v>0.007</v>
      </c>
      <c r="H19" s="22" t="n">
        <f>IF(ISNUMBER(F19),E19*F19,"")</f>
        <v>0.7000000000000001</v>
      </c>
      <c r="I19" s="20" t="n">
        <v>58200</v>
      </c>
      <c r="J19" s="19" t="str">
        <f>IF(ISNUMBER(I19),IF(I19&gt;=E19,"Available","Short stock"),"Unconfirmed")</f>
        <v>Available</v>
      </c>
      <c r="K19" s="26" t="str">
        <v>View part</v>
      </c>
    </row>
    <row r="20" ht="34" customHeight="1">
      <c r="A20" s="18" t="str">
        <v>R4</v>
      </c>
      <c r="B20" s="18" t="str">
        <v>22k
UNI-ROYAL</v>
      </c>
      <c r="C20" s="18" t="str">
        <v>0805W8F2202T5E</v>
      </c>
      <c r="D20" s="20" t="n">
        <v>1</v>
      </c>
      <c r="E20" s="20" t="n">
        <f>CEILING(MAX(MAX($F$3,$H$3*D20*$B$3),0),100)</f>
        <v>100</v>
      </c>
      <c r="F20" s="21" t="n">
        <v>0.0048</v>
      </c>
      <c r="G20" s="22" t="n">
        <f>IF(ISNUMBER(F20),D20*F20,"")</f>
        <v>0.0048</v>
      </c>
      <c r="H20" s="22" t="n">
        <f>IF(ISNUMBER(F20),E20*F20,"")</f>
        <v>0.48</v>
      </c>
      <c r="I20" s="20" t="n">
        <v>1135000</v>
      </c>
      <c r="J20" s="19" t="str">
        <f>IF(ISNUMBER(I20),IF(I20&gt;=E20,"Available","Short stock"),"Unconfirmed")</f>
        <v>Available</v>
      </c>
      <c r="K20" s="26" t="str">
        <v>View part</v>
      </c>
    </row>
    <row r="21" ht="34" customHeight="1">
      <c r="A21" s="18" t="str">
        <v>R6</v>
      </c>
      <c r="B21" s="18" t="str">
        <v>680k
UNI-ROYAL</v>
      </c>
      <c r="C21" s="18" t="str">
        <v>0805W8F6803T5E</v>
      </c>
      <c r="D21" s="20" t="n">
        <v>1</v>
      </c>
      <c r="E21" s="20" t="n">
        <f>CEILING(MAX(MAX($F$3,$H$3*D21*$B$3),0),100)</f>
        <v>100</v>
      </c>
      <c r="F21" s="21" t="n">
        <v>0.0042</v>
      </c>
      <c r="G21" s="22" t="n">
        <f>IF(ISNUMBER(F21),D21*F21,"")</f>
        <v>0.0042</v>
      </c>
      <c r="H21" s="22" t="n">
        <f>IF(ISNUMBER(F21),E21*F21,"")</f>
        <v>0.42</v>
      </c>
      <c r="I21" s="20" t="n">
        <v>61600</v>
      </c>
      <c r="J21" s="19" t="str">
        <f>IF(ISNUMBER(I21),IF(I21&gt;=E21,"Available","Short stock"),"Unconfirmed")</f>
        <v>Available</v>
      </c>
      <c r="K21" s="26" t="str">
        <v>View part</v>
      </c>
    </row>
    <row r="22" ht="34" customHeight="1">
      <c r="A22" s="18" t="str">
        <v>R7</v>
      </c>
      <c r="B22" s="18" t="str">
        <v>200k
UNI-ROYAL</v>
      </c>
      <c r="C22" s="18" t="str">
        <v>0805W8F2003T5E</v>
      </c>
      <c r="D22" s="20" t="n">
        <v>1</v>
      </c>
      <c r="E22" s="20" t="n">
        <f>CEILING(MAX(MAX($F$3,$H$3*D22*$B$3),0),100)</f>
        <v>100</v>
      </c>
      <c r="F22" s="21" t="n">
        <v>0.0056</v>
      </c>
      <c r="G22" s="22" t="n">
        <f>IF(ISNUMBER(F22),D22*F22,"")</f>
        <v>0.0056</v>
      </c>
      <c r="H22" s="22" t="n">
        <f>IF(ISNUMBER(F22),E22*F22,"")</f>
        <v>0.5599999999999999</v>
      </c>
      <c r="I22" s="20" t="n">
        <v>396400</v>
      </c>
      <c r="J22" s="19" t="str">
        <f>IF(ISNUMBER(I22),IF(I22&gt;=E22,"Available","Short stock"),"Unconfirmed")</f>
        <v>Available</v>
      </c>
      <c r="K22" s="26" t="str">
        <v>View part</v>
      </c>
    </row>
    <row r="23" ht="34" customHeight="1">
      <c r="A23" s="18" t="str">
        <v>R8,R9</v>
      </c>
      <c r="B23" s="18" t="str">
        <v>10
UNI-ROYAL</v>
      </c>
      <c r="C23" s="18" t="str">
        <v>0805W8F100JT5E</v>
      </c>
      <c r="D23" s="20" t="n">
        <v>2</v>
      </c>
      <c r="E23" s="20" t="n">
        <f>CEILING(MAX(MAX($F$3,$H$3*D23*$B$3),0),100)</f>
        <v>100</v>
      </c>
      <c r="F23" s="21" t="n">
        <v>0.004</v>
      </c>
      <c r="G23" s="22" t="n">
        <f>IF(ISNUMBER(F23),D23*F23,"")</f>
        <v>0.008</v>
      </c>
      <c r="H23" s="22" t="n">
        <f>IF(ISNUMBER(F23),E23*F23,"")</f>
        <v>0.4</v>
      </c>
      <c r="I23" s="20" t="n">
        <v>4428700</v>
      </c>
      <c r="J23" s="19" t="str">
        <f>IF(ISNUMBER(I23),IF(I23&gt;=E23,"Available","Short stock"),"Unconfirmed")</f>
        <v>Available</v>
      </c>
      <c r="K23" s="26" t="str">
        <v>View part</v>
      </c>
    </row>
    <row r="24" ht="34" customHeight="1">
      <c r="A24" s="18" t="str">
        <v>R10</v>
      </c>
      <c r="B24" s="18" t="str">
        <v>4k7
UNI-ROYAL</v>
      </c>
      <c r="C24" s="18" t="str">
        <v>0805W8F4701T5E</v>
      </c>
      <c r="D24" s="20" t="n">
        <v>1</v>
      </c>
      <c r="E24" s="20" t="n">
        <f>CEILING(MAX(MAX($F$3,$H$3*D24*$B$3),0),100)</f>
        <v>100</v>
      </c>
      <c r="F24" s="21" t="n">
        <v>0.0051</v>
      </c>
      <c r="G24" s="22" t="n">
        <f>IF(ISNUMBER(F24),D24*F24,"")</f>
        <v>0.0051</v>
      </c>
      <c r="H24" s="22" t="n">
        <f>IF(ISNUMBER(F24),E24*F24,"")</f>
        <v>0.51</v>
      </c>
      <c r="I24" s="20" t="n">
        <v>1225400</v>
      </c>
      <c r="J24" s="19" t="str">
        <f>IF(ISNUMBER(I24),IF(I24&gt;=E24,"Available","Short stock"),"Unconfirmed")</f>
        <v>Available</v>
      </c>
      <c r="K24" s="26" t="str">
        <v>View part</v>
      </c>
    </row>
    <row r="25" ht="34" customHeight="1">
      <c r="A25" s="18" t="str">
        <v>R11</v>
      </c>
      <c r="B25" s="18" t="str">
        <v>1.58 kOhm 0.1%
RESI</v>
      </c>
      <c r="C25" s="18" t="str">
        <v>PTFR0805B1K58P9</v>
      </c>
      <c r="D25" s="20" t="n">
        <v>1</v>
      </c>
      <c r="E25" s="20" t="n">
        <f>CEILING(MAX(MAX($F$3,$H$3*D25*$B$3),0),5)</f>
        <v>100</v>
      </c>
      <c r="F25" s="21" t="n">
        <f>IF(E25&gt;=5000,0.0798,IF(E25&gt;=2500,0.0844,IF(E25&gt;=500,0.1029,IF(E25&gt;=150,0.1144,IF(E25&gt;=50,0.1298,0.1607)))))</f>
        <v>0.1298</v>
      </c>
      <c r="G25" s="22" t="n">
        <f>IF(ISNUMBER(F25),D25*F25,"")</f>
        <v>0.1298</v>
      </c>
      <c r="H25" s="22" t="n">
        <f>IF(ISNUMBER(F25),E25*F25,"")</f>
        <v>12.98</v>
      </c>
      <c r="I25" s="20" t="n">
        <v>4805</v>
      </c>
      <c r="J25" s="19" t="str">
        <f>IF(ISNUMBER(I25),IF(I25&gt;=E25,"Available","Short stock"),"Unconfirmed")</f>
        <v>Available</v>
      </c>
      <c r="K25" s="26" t="str">
        <v>View part</v>
      </c>
    </row>
    <row r="26" ht="34" customHeight="1">
      <c r="A26" s="18" t="str">
        <v>R12</v>
      </c>
      <c r="B26" s="18" t="str">
        <v>1k0
UNI-ROYAL</v>
      </c>
      <c r="C26" s="18" t="str">
        <v>0805W8F1001T5E</v>
      </c>
      <c r="D26" s="20" t="n">
        <v>1</v>
      </c>
      <c r="E26" s="20" t="n">
        <f>CEILING(MAX(MAX($F$3,$H$3*D26*$B$3),0),100)</f>
        <v>100</v>
      </c>
      <c r="F26" s="21" t="n">
        <v>0.0041</v>
      </c>
      <c r="G26" s="22" t="n">
        <f>IF(ISNUMBER(F26),D26*F26,"")</f>
        <v>0.0041</v>
      </c>
      <c r="H26" s="22" t="n">
        <f>IF(ISNUMBER(F26),E26*F26,"")</f>
        <v>0.41000000000000003</v>
      </c>
      <c r="I26" s="20" t="n">
        <v>38064100</v>
      </c>
      <c r="J26" s="19" t="str">
        <f>IF(ISNUMBER(I26),IF(I26&gt;=E26,"Available","Short stock"),"Unconfirmed")</f>
        <v>Available</v>
      </c>
      <c r="K26" s="26" t="str">
        <v>View part</v>
      </c>
    </row>
    <row r="27" ht="34" customHeight="1">
      <c r="A27" s="18" t="str">
        <v>R13</v>
      </c>
      <c r="B27" s="18" t="str">
        <v>54k9
UNI-ROYAL</v>
      </c>
      <c r="C27" s="18" t="str">
        <v>0805W8F5492T5E</v>
      </c>
      <c r="D27" s="20" t="n">
        <v>1</v>
      </c>
      <c r="E27" s="20" t="n">
        <f>CEILING(MAX(MAX($F$3,$H$3*D27*$B$3),0),100)</f>
        <v>100</v>
      </c>
      <c r="F27" s="21" t="n">
        <f>IF(E27&gt;=50000,0.002,IF(E27&gt;=10000,0.0023,IF(E27&gt;=5000,0.0025,IF(E27&gt;=1000,0.003,0.0038))))</f>
        <v>0.0038</v>
      </c>
      <c r="G27" s="22" t="n">
        <f>IF(ISNUMBER(F27),D27*F27,"")</f>
        <v>0.0038</v>
      </c>
      <c r="H27" s="22" t="n">
        <f>IF(ISNUMBER(F27),E27*F27,"")</f>
        <v>0.38</v>
      </c>
      <c r="I27" s="20" t="n">
        <v>7000</v>
      </c>
      <c r="J27" s="19" t="str">
        <f>IF(ISNUMBER(I27),IF(I27&gt;=E27,"Available","Short stock"),"Unconfirmed")</f>
        <v>Available</v>
      </c>
      <c r="K27" s="26" t="str">
        <v>View part</v>
      </c>
    </row>
    <row r="28" ht="34" customHeight="1">
      <c r="A28" s="18" t="str">
        <v>R14</v>
      </c>
      <c r="B28" s="18" t="str">
        <v>22M
FOJAN</v>
      </c>
      <c r="C28" s="18" t="str">
        <v>FRG0805J226TS</v>
      </c>
      <c r="D28" s="20" t="n">
        <v>1</v>
      </c>
      <c r="E28" s="20" t="n">
        <f>CEILING(MAX(MAX($F$3,$H$3*D28*$B$3),0),100)</f>
        <v>100</v>
      </c>
      <c r="F28" s="21" t="n">
        <f>IF(E28&gt;=50000,0.002,IF(E28&gt;=10000,0.0022,IF(E28&gt;=5000,0.0024,IF(E28&gt;=1000,0.0029,0.0037))))</f>
        <v>0.0037</v>
      </c>
      <c r="G28" s="22" t="n">
        <f>IF(ISNUMBER(F28),D28*F28,"")</f>
        <v>0.0037</v>
      </c>
      <c r="H28" s="22" t="n">
        <f>IF(ISNUMBER(F28),E28*F28,"")</f>
        <v>0.37</v>
      </c>
      <c r="I28" s="20" t="n">
        <v>207600</v>
      </c>
      <c r="J28" s="19" t="str">
        <f>IF(ISNUMBER(I28),IF(I28&gt;=E28,"Available","Short stock"),"Unconfirmed")</f>
        <v>Available</v>
      </c>
      <c r="K28" s="26" t="str">
        <v>View part</v>
      </c>
    </row>
    <row r="29" ht="34" customHeight="1">
      <c r="A29" s="18" t="str">
        <v>R15,R16</v>
      </c>
      <c r="B29" s="18" t="str">
        <v>10k
UNI-ROYAL</v>
      </c>
      <c r="C29" s="18" t="str">
        <v>0805W8F1002T5E</v>
      </c>
      <c r="D29" s="20" t="n">
        <v>2</v>
      </c>
      <c r="E29" s="20" t="n">
        <f>CEILING(MAX(MAX($F$3,$H$3*D29*$B$3),0),100)</f>
        <v>100</v>
      </c>
      <c r="F29" s="21" t="n">
        <v>0.0034</v>
      </c>
      <c r="G29" s="22" t="n">
        <f>IF(ISNUMBER(F29),D29*F29,"")</f>
        <v>0.0068</v>
      </c>
      <c r="H29" s="22" t="n">
        <f>IF(ISNUMBER(F29),E29*F29,"")</f>
        <v>0.33999999999999997</v>
      </c>
      <c r="I29" s="20" t="n">
        <v>45790000</v>
      </c>
      <c r="J29" s="19" t="str">
        <f>IF(ISNUMBER(I29),IF(I29&gt;=E29,"Available","Short stock"),"Unconfirmed")</f>
        <v>Available</v>
      </c>
      <c r="K29" s="26" t="str">
        <v>View part</v>
      </c>
    </row>
    <row r="30" ht="34" customHeight="1">
      <c r="A30" s="18" t="str">
        <v>R21</v>
      </c>
      <c r="B30" s="18" t="str">
        <v>100
UNI-ROYAL</v>
      </c>
      <c r="C30" s="18" t="str">
        <v>0805W8F1000T5E</v>
      </c>
      <c r="D30" s="20" t="n">
        <v>1</v>
      </c>
      <c r="E30" s="20" t="n">
        <f>CEILING(MAX(MAX($F$3,$H$3*D30*$B$3),0),100)</f>
        <v>100</v>
      </c>
      <c r="F30" s="21" t="n">
        <v>0.0043</v>
      </c>
      <c r="G30" s="22" t="n">
        <f>IF(ISNUMBER(F30),D30*F30,"")</f>
        <v>0.0043</v>
      </c>
      <c r="H30" s="22" t="n">
        <f>IF(ISNUMBER(F30),E30*F30,"")</f>
        <v>0.43</v>
      </c>
      <c r="I30" s="20" t="n">
        <v>6466800</v>
      </c>
      <c r="J30" s="19" t="str">
        <f>IF(ISNUMBER(I30),IF(I30&gt;=E30,"Available","Short stock"),"Unconfirmed")</f>
        <v>Available</v>
      </c>
      <c r="K30" s="26" t="str">
        <v>View part</v>
      </c>
    </row>
    <row r="31" ht="34" customHeight="1">
      <c r="A31" s="18" t="str">
        <v>U2</v>
      </c>
      <c r="B31" s="18" t="str">
        <v>INA238AIDGSR
Texas Instruments</v>
      </c>
      <c r="C31" s="18" t="str">
        <v>INA238AIDGSR</v>
      </c>
      <c r="D31" s="20" t="n">
        <v>1</v>
      </c>
      <c r="E31" s="20" t="n">
        <f>CEILING(MAX(ROUNDUP(D31*$B$3*(1+$D$3),0),0),1)</f>
        <v>6</v>
      </c>
      <c r="F31" s="21" t="n">
        <f>IF(E31&gt;=100,6.3058,IF(E31&gt;=30,6.8099,IF(E31&gt;=10,7.4125,8.4027)))</f>
        <v>8.4027</v>
      </c>
      <c r="G31" s="22" t="n">
        <f>IF(ISNUMBER(F31),D31*F31,"")</f>
        <v>8.4027</v>
      </c>
      <c r="H31" s="22" t="n">
        <f>IF(ISNUMBER(F31),E31*F31,"")</f>
        <v>50.416199999999996</v>
      </c>
      <c r="I31" s="20" t="n">
        <v>333</v>
      </c>
      <c r="J31" s="19" t="str">
        <f>IF(ISNUMBER(I31),IF(I31&gt;=E31,"Available","Short stock"),"Unconfirmed")</f>
        <v>Available</v>
      </c>
      <c r="K31" s="26" t="str">
        <v>View part</v>
      </c>
    </row>
    <row r="32" ht="25" customHeight="1">
      <c r="A32" s="29" t="str">
        <v>DIGIKEY  |  17/17 lines covered by recorded stock</v>
      </c>
      <c r="B32" s="29"/>
      <c r="C32" s="29"/>
      <c r="D32" s="29"/>
      <c r="E32" s="29"/>
      <c r="F32" s="29"/>
      <c r="G32" s="29"/>
      <c r="H32" s="40" t="n">
        <f>SUM(H33,H34,H35,H36,H37,H38,H39,H40,H41,H42,H43,H44,H45,H46,H47,H48,H49)</f>
        <v>539.626</v>
      </c>
      <c r="I32" s="29" t="str">
        <v>Distributor subtotal</v>
      </c>
      <c r="J32" s="29"/>
      <c r="K32" s="29"/>
    </row>
    <row r="33" ht="34" customHeight="1">
      <c r="A33" s="31" t="str">
        <v>C1</v>
      </c>
      <c r="B33" s="31" t="str">
        <v>22 nF 100 V C0G 5%
TDK</v>
      </c>
      <c r="C33" s="31" t="str">
        <v>C2012C0G2A223J125AC</v>
      </c>
      <c r="D33" s="33" t="n">
        <v>1</v>
      </c>
      <c r="E33" s="33" t="n">
        <f>CEILING(MAX(MAX($F$3,$H$3*D33*$B$3),0),1)</f>
        <v>100</v>
      </c>
      <c r="F33" s="34" t="n">
        <v>0.1236</v>
      </c>
      <c r="G33" s="35" t="n">
        <f>IF(ISNUMBER(F33),D33*F33,"")</f>
        <v>0.1236</v>
      </c>
      <c r="H33" s="35" t="n">
        <f>IF(ISNUMBER(F33),E33*F33,"")</f>
        <v>12.36</v>
      </c>
      <c r="I33" s="33" t="n">
        <v>32275</v>
      </c>
      <c r="J33" s="32" t="str">
        <f>IF(ISNUMBER(I33),IF(I33&gt;=E33,"Available","Short stock"),"Unconfirmed")</f>
        <v>Available</v>
      </c>
      <c r="K33" s="39" t="str">
        <v>View part</v>
      </c>
    </row>
    <row r="34" ht="34" customHeight="1">
      <c r="A34" s="31" t="str">
        <v>C3,C5,C7,C8,C10</v>
      </c>
      <c r="B34" s="31" t="str">
        <v>100 nF 50 V X7R 10%
YAGEO</v>
      </c>
      <c r="C34" s="31" t="str">
        <v>CC0603KRX7R9BB104</v>
      </c>
      <c r="D34" s="33" t="n">
        <v>5</v>
      </c>
      <c r="E34" s="33" t="n">
        <f>CEILING(MAX(MAX($F$3,$H$3*D34*$B$3),0),1)</f>
        <v>250</v>
      </c>
      <c r="F34" s="34" t="n">
        <f>IF(E34&gt;=500,0.03526,IF(E34&gt;=100,0.0478,IF(E34&gt;=50,0.0554,IF(E34&gt;=10,0.08,0.14))))</f>
        <v>0.0478</v>
      </c>
      <c r="G34" s="35" t="n">
        <f>IF(ISNUMBER(F34),D34*F34,"")</f>
        <v>0.23900000000000002</v>
      </c>
      <c r="H34" s="35" t="n">
        <f>IF(ISNUMBER(F34),E34*F34,"")</f>
        <v>11.950000000000001</v>
      </c>
      <c r="I34" s="33" t="n">
        <v>4752472</v>
      </c>
      <c r="J34" s="32" t="str">
        <f>IF(ISNUMBER(I34),IF(I34&gt;=E34,"Available","Short stock"),"Unconfirmed")</f>
        <v>Available</v>
      </c>
      <c r="K34" s="39" t="str">
        <v>View part</v>
      </c>
    </row>
    <row r="35" ht="34" customHeight="1">
      <c r="A35" s="31" t="str">
        <v>C11–C16</v>
      </c>
      <c r="B35" s="31" t="str">
        <v>1u
TDK</v>
      </c>
      <c r="C35" s="31" t="str">
        <v>B32529C0105J000</v>
      </c>
      <c r="D35" s="33" t="n">
        <v>6</v>
      </c>
      <c r="E35" s="33" t="n">
        <f>CEILING(MAX(MAX($F$3,$H$3*D35*$B$3),0),1)</f>
        <v>300</v>
      </c>
      <c r="F35" s="34" t="n">
        <v>0.2842</v>
      </c>
      <c r="G35" s="35" t="n">
        <f>IF(ISNUMBER(F35),D35*F35,"")</f>
        <v>1.7052</v>
      </c>
      <c r="H35" s="35" t="n">
        <f>IF(ISNUMBER(F35),E35*F35,"")</f>
        <v>85.26</v>
      </c>
      <c r="I35" s="33" t="n">
        <v>1655</v>
      </c>
      <c r="J35" s="32" t="str">
        <f>IF(ISNUMBER(I35),IF(I35&gt;=E35,"Available","Short stock"),"Unconfirmed")</f>
        <v>Available</v>
      </c>
      <c r="K35" s="39" t="str">
        <v>View part</v>
      </c>
    </row>
    <row r="36" ht="34" customHeight="1">
      <c r="A36" s="31" t="str">
        <v>D3</v>
      </c>
      <c r="B36" s="31" t="str">
        <v>STPST10H100SB
STMicroelectronics</v>
      </c>
      <c r="C36" s="31" t="str">
        <v>STPST10H100SB-TR</v>
      </c>
      <c r="D36" s="33" t="n">
        <v>1</v>
      </c>
      <c r="E36" s="33" t="n">
        <f>CEILING(MAX(ROUNDUP(D36*$B$3*(1+$D$3),0),0),1)</f>
        <v>6</v>
      </c>
      <c r="F36" s="34" t="n">
        <v>1.49</v>
      </c>
      <c r="G36" s="35" t="n">
        <f>IF(ISNUMBER(F36),D36*F36,"")</f>
        <v>1.49</v>
      </c>
      <c r="H36" s="35" t="n">
        <f>IF(ISNUMBER(F36),E36*F36,"")</f>
        <v>8.94</v>
      </c>
      <c r="I36" s="33" t="n">
        <v>1082</v>
      </c>
      <c r="J36" s="32" t="str">
        <f>IF(ISNUMBER(I36),IF(I36&gt;=E36,"Available","Short stock"),"Unconfirmed")</f>
        <v>Available</v>
      </c>
      <c r="K36" s="39" t="str">
        <v>View part</v>
      </c>
    </row>
    <row r="37" ht="34" customHeight="1">
      <c r="A37" s="31" t="str">
        <v>D5</v>
      </c>
      <c r="B37" s="31" t="str">
        <v>SMBJ18CA
Bourns</v>
      </c>
      <c r="C37" s="31" t="str">
        <v>SMBJ18CA</v>
      </c>
      <c r="D37" s="33" t="n">
        <v>1</v>
      </c>
      <c r="E37" s="33" t="n">
        <f>CEILING(MAX(ROUNDUP(D37*$B$3*(1+$D$3),0),0),1)</f>
        <v>6</v>
      </c>
      <c r="F37" s="34" t="n">
        <v>0.6</v>
      </c>
      <c r="G37" s="35" t="n">
        <f>IF(ISNUMBER(F37),D37*F37,"")</f>
        <v>0.6</v>
      </c>
      <c r="H37" s="35" t="n">
        <f>IF(ISNUMBER(F37),E37*F37,"")</f>
        <v>3.5999999999999996</v>
      </c>
      <c r="I37" s="33" t="n">
        <v>18090</v>
      </c>
      <c r="J37" s="32" t="str">
        <f>IF(ISNUMBER(I37),IF(I37&gt;=E37,"Available","Short stock"),"Unconfirmed")</f>
        <v>Available</v>
      </c>
      <c r="K37" s="39" t="str">
        <v>View part</v>
      </c>
    </row>
    <row r="38" ht="45" customHeight="1">
      <c r="A38" s="31" t="str">
        <v>F1</v>
      </c>
      <c r="B38" s="31" t="str">
        <v>MINI fuse holder (blade fuse supplied separately)
Keystone</v>
      </c>
      <c r="C38" s="31" t="str">
        <v>3568</v>
      </c>
      <c r="D38" s="33" t="n">
        <v>1</v>
      </c>
      <c r="E38" s="33" t="n">
        <f>CEILING(MAX(ROUNDUP(D38*$B$3*(1+$D$3),0),0),1)</f>
        <v>6</v>
      </c>
      <c r="F38" s="34" t="n">
        <v>1.31</v>
      </c>
      <c r="G38" s="35" t="n">
        <f>IF(ISNUMBER(F38),D38*F38,"")</f>
        <v>1.31</v>
      </c>
      <c r="H38" s="35" t="n">
        <f>IF(ISNUMBER(F38),E38*F38,"")</f>
        <v>7.86</v>
      </c>
      <c r="I38" s="33" t="n">
        <v>107594</v>
      </c>
      <c r="J38" s="32" t="str">
        <f>IF(ISNUMBER(I38),IF(I38&gt;=E38,"Available","Short stock"),"Unconfirmed")</f>
        <v>Available</v>
      </c>
      <c r="K38" s="39" t="str">
        <v>View part</v>
      </c>
    </row>
    <row r="39" ht="34" customHeight="1">
      <c r="A39" s="31" t="str">
        <v>F2</v>
      </c>
      <c r="B39" s="31" t="str">
        <v>UHS 100A 50V
SCHURTER</v>
      </c>
      <c r="C39" s="31" t="str">
        <v>3-140-177</v>
      </c>
      <c r="D39" s="33" t="n">
        <v>1</v>
      </c>
      <c r="E39" s="33" t="n">
        <f>CEILING(MAX(ROUNDUP(D39*$B$3*(1+$D$3),0),0),1)</f>
        <v>6</v>
      </c>
      <c r="F39" s="34" t="n">
        <v>1.074</v>
      </c>
      <c r="G39" s="35" t="n">
        <f>IF(ISNUMBER(F39),D39*F39,"")</f>
        <v>1.074</v>
      </c>
      <c r="H39" s="35" t="n">
        <f>IF(ISNUMBER(F39),E39*F39,"")</f>
        <v>6.444000000000001</v>
      </c>
      <c r="I39" s="33" t="n">
        <v>88</v>
      </c>
      <c r="J39" s="32" t="str">
        <f>IF(ISNUMBER(I39),IF(I39&gt;=E39,"Available","Short stock"),"Unconfirmed")</f>
        <v>Available</v>
      </c>
      <c r="K39" s="39" t="str">
        <v>View part</v>
      </c>
    </row>
    <row r="40" ht="34" customHeight="1">
      <c r="A40" s="31" t="str">
        <v>Q1,Q2</v>
      </c>
      <c r="B40" s="31" t="str">
        <v>ISC015N06NM5LF2
Infineon</v>
      </c>
      <c r="C40" s="31" t="str">
        <v>ISC015N06NM5LF2ATMA1</v>
      </c>
      <c r="D40" s="33" t="n">
        <v>2</v>
      </c>
      <c r="E40" s="33" t="n">
        <f>CEILING(MAX(ROUNDUP(D40*$B$3*(1+$D$3),0),0),1)</f>
        <v>12</v>
      </c>
      <c r="F40" s="34" t="n">
        <v>2.828</v>
      </c>
      <c r="G40" s="35" t="n">
        <f>IF(ISNUMBER(F40),D40*F40,"")</f>
        <v>5.656</v>
      </c>
      <c r="H40" s="35" t="n">
        <f>IF(ISNUMBER(F40),E40*F40,"")</f>
        <v>33.936</v>
      </c>
      <c r="I40" s="33" t="n">
        <v>14063</v>
      </c>
      <c r="J40" s="32" t="str">
        <f>IF(ISNUMBER(I40),IF(I40&gt;=E40,"Available","Short stock"),"Unconfirmed")</f>
        <v>Available</v>
      </c>
      <c r="K40" s="39" t="str">
        <v>View part</v>
      </c>
    </row>
    <row r="41" ht="34" customHeight="1">
      <c r="A41" s="31" t="str">
        <v>Q3</v>
      </c>
      <c r="B41" s="31" t="str">
        <v>BSC070N10NS5
Infineon</v>
      </c>
      <c r="C41" s="31" t="str">
        <v>BSC070N10NS5ATMA1</v>
      </c>
      <c r="D41" s="33" t="n">
        <v>1</v>
      </c>
      <c r="E41" s="33" t="n">
        <f>CEILING(MAX(ROUNDUP(D41*$B$3*(1+$D$3),0),0),1)</f>
        <v>6</v>
      </c>
      <c r="F41" s="34" t="n">
        <v>2.32</v>
      </c>
      <c r="G41" s="35" t="n">
        <f>IF(ISNUMBER(F41),D41*F41,"")</f>
        <v>2.32</v>
      </c>
      <c r="H41" s="35" t="n">
        <f>IF(ISNUMBER(F41),E41*F41,"")</f>
        <v>13.919999999999998</v>
      </c>
      <c r="I41" s="33" t="n">
        <v>9617</v>
      </c>
      <c r="J41" s="32" t="str">
        <f>IF(ISNUMBER(I41),IF(I41&gt;=E41,"Available","Short stock"),"Unconfirmed")</f>
        <v>Available</v>
      </c>
      <c r="K41" s="39" t="str">
        <v>View part</v>
      </c>
    </row>
    <row r="42" ht="34" customHeight="1">
      <c r="A42" s="31" t="str">
        <v>R5</v>
      </c>
      <c r="B42" s="31" t="str">
        <v>5m
Ohmite</v>
      </c>
      <c r="C42" s="31" t="str">
        <v>FC4L64R005FER</v>
      </c>
      <c r="D42" s="33" t="n">
        <v>1</v>
      </c>
      <c r="E42" s="33" t="n">
        <f>CEILING(MAX(MAX($F$3,$H$3*D42*$B$3),0),1)</f>
        <v>100</v>
      </c>
      <c r="F42" s="34" t="n">
        <v>1.2092</v>
      </c>
      <c r="G42" s="35" t="n">
        <f>IF(ISNUMBER(F42),D42*F42,"")</f>
        <v>1.2092</v>
      </c>
      <c r="H42" s="35" t="n">
        <f>IF(ISNUMBER(F42),E42*F42,"")</f>
        <v>120.92</v>
      </c>
      <c r="I42" s="33" t="n">
        <v>4380</v>
      </c>
      <c r="J42" s="32" t="str">
        <f>IF(ISNUMBER(I42),IF(I42&gt;=E42,"Available","Short stock"),"Unconfirmed")</f>
        <v>Available</v>
      </c>
      <c r="K42" s="39" t="str">
        <v>View part</v>
      </c>
    </row>
    <row r="43" ht="34" customHeight="1">
      <c r="A43" s="31" t="str">
        <v>R19</v>
      </c>
      <c r="B43" s="31" t="str">
        <v>1k
Vishay</v>
      </c>
      <c r="C43" s="31" t="str">
        <v>CRCW25121K00FKEGHP</v>
      </c>
      <c r="D43" s="33" t="n">
        <v>1</v>
      </c>
      <c r="E43" s="33" t="n">
        <f>CEILING(MAX(MAX($F$3,$H$3*D43*$B$3),0),1)</f>
        <v>100</v>
      </c>
      <c r="F43" s="34" t="n">
        <v>0.3296</v>
      </c>
      <c r="G43" s="35" t="n">
        <f>IF(ISNUMBER(F43),D43*F43,"")</f>
        <v>0.3296</v>
      </c>
      <c r="H43" s="35" t="n">
        <f>IF(ISNUMBER(F43),E43*F43,"")</f>
        <v>32.96</v>
      </c>
      <c r="I43" s="33" t="n">
        <v>7450</v>
      </c>
      <c r="J43" s="32" t="str">
        <f>IF(ISNUMBER(I43),IF(I43&gt;=E43,"Available","Short stock"),"Unconfirmed")</f>
        <v>Available</v>
      </c>
      <c r="K43" s="39" t="str">
        <v>View part</v>
      </c>
    </row>
    <row r="44" ht="34" customHeight="1">
      <c r="A44" s="31" t="str">
        <v>R20</v>
      </c>
      <c r="B44" s="31" t="str">
        <v>1
Vishay</v>
      </c>
      <c r="C44" s="31" t="str">
        <v>CRCW25121R00FKEGHP</v>
      </c>
      <c r="D44" s="33" t="n">
        <v>1</v>
      </c>
      <c r="E44" s="33" t="n">
        <f>CEILING(MAX(MAX($F$3,$H$3*D44*$B$3),0),1)</f>
        <v>100</v>
      </c>
      <c r="F44" s="34" t="n">
        <v>0.4322</v>
      </c>
      <c r="G44" s="35" t="n">
        <f>IF(ISNUMBER(F44),D44*F44,"")</f>
        <v>0.4322</v>
      </c>
      <c r="H44" s="35" t="n">
        <f>IF(ISNUMBER(F44),E44*F44,"")</f>
        <v>43.22</v>
      </c>
      <c r="I44" s="33" t="n">
        <v>14448</v>
      </c>
      <c r="J44" s="32" t="str">
        <f>IF(ISNUMBER(I44),IF(I44&gt;=E44,"Available","Short stock"),"Unconfirmed")</f>
        <v>Available</v>
      </c>
      <c r="K44" s="39" t="str">
        <v>View part</v>
      </c>
    </row>
    <row r="45" ht="34" customHeight="1">
      <c r="A45" s="31" t="str">
        <v>U1</v>
      </c>
      <c r="B45" s="31" t="str">
        <v>LTC4368HMS-1-PBF
Analog Devices</v>
      </c>
      <c r="C45" s="31" t="str">
        <v>LTC4368HMS-1#WTRPBF</v>
      </c>
      <c r="D45" s="33" t="n">
        <v>1</v>
      </c>
      <c r="E45" s="33" t="n">
        <f>CEILING(MAX(ROUNDUP(D45*$B$3*(1+$D$3),0),0),1)</f>
        <v>6</v>
      </c>
      <c r="F45" s="34" t="n">
        <v>9.9</v>
      </c>
      <c r="G45" s="35" t="n">
        <f>IF(ISNUMBER(F45),D45*F45,"")</f>
        <v>9.9</v>
      </c>
      <c r="H45" s="35" t="n">
        <f>IF(ISNUMBER(F45),E45*F45,"")</f>
        <v>59.400000000000006</v>
      </c>
      <c r="I45" s="33" t="n">
        <v>10</v>
      </c>
      <c r="J45" s="32" t="str">
        <f>IF(ISNUMBER(I45),IF(I45&gt;=E45,"Available","Short stock"),"Unconfirmed")</f>
        <v>Available</v>
      </c>
      <c r="K45" s="39" t="str">
        <v>View part</v>
      </c>
    </row>
    <row r="46" ht="34" customHeight="1">
      <c r="A46" s="31" t="str">
        <v>U3</v>
      </c>
      <c r="B46" s="31" t="str">
        <v>LT3010EMS8E
Analog Devices</v>
      </c>
      <c r="C46" s="31" t="str">
        <v>LT3010EMS8E#TRPBF</v>
      </c>
      <c r="D46" s="33" t="n">
        <v>1</v>
      </c>
      <c r="E46" s="33" t="n">
        <f>CEILING(MAX(ROUNDUP(D46*$B$3*(1+$D$3),0),0),1)</f>
        <v>6</v>
      </c>
      <c r="F46" s="34" t="n">
        <v>6.45</v>
      </c>
      <c r="G46" s="35" t="n">
        <f>IF(ISNUMBER(F46),D46*F46,"")</f>
        <v>6.45</v>
      </c>
      <c r="H46" s="35" t="n">
        <f>IF(ISNUMBER(F46),E46*F46,"")</f>
        <v>38.7</v>
      </c>
      <c r="I46" s="33" t="n">
        <v>4123</v>
      </c>
      <c r="J46" s="32" t="str">
        <f>IF(ISNUMBER(I46),IF(I46&gt;=E46,"Available","Short stock"),"Unconfirmed")</f>
        <v>Available</v>
      </c>
      <c r="K46" s="39" t="str">
        <v>View part</v>
      </c>
    </row>
    <row r="47" ht="34" customHeight="1">
      <c r="A47" s="31" t="str">
        <v>U4</v>
      </c>
      <c r="B47" s="31" t="str">
        <v>74AUP1G07GW
Nexperia</v>
      </c>
      <c r="C47" s="31" t="str">
        <v>74AUP1G07GW,125</v>
      </c>
      <c r="D47" s="33" t="n">
        <v>1</v>
      </c>
      <c r="E47" s="33" t="n">
        <f>CEILING(MAX(ROUNDUP(D47*$B$3*(1+$D$3),0),0),1)</f>
        <v>6</v>
      </c>
      <c r="F47" s="34" t="n">
        <v>0.19</v>
      </c>
      <c r="G47" s="35" t="n">
        <f>IF(ISNUMBER(F47),D47*F47,"")</f>
        <v>0.19</v>
      </c>
      <c r="H47" s="35" t="n">
        <f>IF(ISNUMBER(F47),E47*F47,"")</f>
        <v>1.1400000000000001</v>
      </c>
      <c r="I47" s="33" t="n">
        <v>10686</v>
      </c>
      <c r="J47" s="32" t="str">
        <f>IF(ISNUMBER(I47),IF(I47&gt;=E47,"Available","Short stock"),"Unconfirmed")</f>
        <v>Available</v>
      </c>
      <c r="K47" s="39" t="str">
        <v>View part</v>
      </c>
    </row>
    <row r="48" ht="34" customHeight="1">
      <c r="A48" s="31" t="str">
        <v>U5</v>
      </c>
      <c r="B48" s="31" t="str">
        <v>LTC4359IMS8
Analog Devices</v>
      </c>
      <c r="C48" s="31" t="str">
        <v>LTC4359IMS8#TRPBF</v>
      </c>
      <c r="D48" s="33" t="n">
        <v>1</v>
      </c>
      <c r="E48" s="33" t="n">
        <f>CEILING(MAX(ROUNDUP(D48*$B$3*(1+$D$3),0),0),1)</f>
        <v>6</v>
      </c>
      <c r="F48" s="34" t="n">
        <v>9.51</v>
      </c>
      <c r="G48" s="35" t="n">
        <f>IF(ISNUMBER(F48),D48*F48,"")</f>
        <v>9.51</v>
      </c>
      <c r="H48" s="35" t="n">
        <f>IF(ISNUMBER(F48),E48*F48,"")</f>
        <v>57.06</v>
      </c>
      <c r="I48" s="33" t="n">
        <v>6425</v>
      </c>
      <c r="J48" s="32" t="str">
        <f>IF(ISNUMBER(I48),IF(I48&gt;=E48,"Available","Short stock"),"Unconfirmed")</f>
        <v>Available</v>
      </c>
      <c r="K48" s="39" t="str">
        <v>View part</v>
      </c>
    </row>
    <row r="49" ht="34" customHeight="1">
      <c r="A49" s="31" t="str">
        <v>F1 fuse insert</v>
      </c>
      <c r="B49" s="31" t="str">
        <v>7.5 A MINI blade fuse
Littelfuse</v>
      </c>
      <c r="C49" s="31" t="str">
        <v>029707.5WXNV</v>
      </c>
      <c r="D49" s="33" t="n">
        <v>1</v>
      </c>
      <c r="E49" s="33" t="n">
        <f>CEILING(MAX(ROUNDUP(D49*$B$3*(1+$D$3),0),0),1)</f>
        <v>6</v>
      </c>
      <c r="F49" s="34" t="n">
        <v>0.326</v>
      </c>
      <c r="G49" s="35" t="n">
        <f>IF(ISNUMBER(F49),D49*F49,"")</f>
        <v>0.326</v>
      </c>
      <c r="H49" s="35" t="n">
        <f>IF(ISNUMBER(F49),E49*F49,"")</f>
        <v>1.956</v>
      </c>
      <c r="I49" s="33" t="n">
        <v>42351</v>
      </c>
      <c r="J49" s="32" t="str">
        <f>IF(ISNUMBER(I49),IF(I49&gt;=E49,"Available","Short stock"),"Unconfirmed")</f>
        <v>Available</v>
      </c>
      <c r="K49" s="39" t="str">
        <v>View part</v>
      </c>
    </row>
    <row r="50" ht="25" customHeight="1">
      <c r="A50" s="42" t="str">
        <v>NEWARK  |  1/1 lines covered by recorded stock</v>
      </c>
      <c r="B50" s="42"/>
      <c r="C50" s="42"/>
      <c r="D50" s="42"/>
      <c r="E50" s="42"/>
      <c r="F50" s="42"/>
      <c r="G50" s="42"/>
      <c r="H50" s="53" t="n">
        <f>SUM(H51)</f>
        <v>3.4559999999999995</v>
      </c>
      <c r="I50" s="42" t="str">
        <v>Distributor subtotal</v>
      </c>
      <c r="J50" s="42"/>
      <c r="K50" s="42"/>
    </row>
    <row r="51" ht="34" customHeight="1">
      <c r="A51" s="44" t="str">
        <v>J2</v>
      </c>
      <c r="B51" s="44" t="str">
        <v>OSIRIS_I2C
JST</v>
      </c>
      <c r="C51" s="44" t="str">
        <v>BM04B-GHS-TBT(LF)(SN)</v>
      </c>
      <c r="D51" s="46" t="n">
        <v>1</v>
      </c>
      <c r="E51" s="46" t="n">
        <f>CEILING(MAX(ROUNDUP(D51*$B$3*(1+$D$3),0),0),1)</f>
        <v>6</v>
      </c>
      <c r="F51" s="47" t="n">
        <v>0.576</v>
      </c>
      <c r="G51" s="48" t="n">
        <f>IF(ISNUMBER(F51),D51*F51,"")</f>
        <v>0.576</v>
      </c>
      <c r="H51" s="48" t="n">
        <f>IF(ISNUMBER(F51),E51*F51,"")</f>
        <v>3.4559999999999995</v>
      </c>
      <c r="I51" s="46" t="n">
        <v>177710</v>
      </c>
      <c r="J51" s="45" t="str">
        <f>IF(ISNUMBER(I51),IF(I51&gt;=E51,"Available","Short stock"),"Unconfirmed")</f>
        <v>Available</v>
      </c>
      <c r="K51" s="52" t="str">
        <v>View part</v>
      </c>
    </row>
    <row r="52" ht="25" customHeight="1">
      <c r="A52" s="57" t="str">
        <v>PARTS TOTAL</v>
      </c>
      <c r="B52" s="57"/>
      <c r="C52" s="57"/>
      <c r="D52" s="57"/>
      <c r="E52" s="57"/>
      <c r="F52" s="57"/>
      <c r="G52" s="58" t="n">
        <f>SUM(G10,G11,G12,G13,G14,G15,G16,G17,G18,G19,G20,G21,G22,G23,G24,G25,G26,G27,G28,G29,G30,G31,G33,G34,G35,G36,G37,G38,G39,G40,G41,G42,G43,G44,G45,G46,G47,G48,G49,G51)</f>
        <v>57.2316</v>
      </c>
      <c r="H52" s="58" t="n">
        <f>SUM(H10,H11,H12,H13,H14,H15,H16,H17,H18,H19,H20,H21,H22,H23,H24,H25,H26,H27,H28,H29,H30,H31,H33,H34,H35,H36,H37,H38,H39,H40,H41,H42,H43,H44,H45,H46,H47,H48,H49,H51)</f>
        <v>785.7914000000001</v>
      </c>
      <c r="I52" s="57"/>
      <c r="J52" s="57"/>
      <c r="K52" s="57"/>
    </row>
    <row r="53" ht="20" customHeight="1">
      <c r="A53" s="2" t="str">
        <v>Full-board procurement. For partial JLC assembly, use Local_Assembly/Procurement_5_Boards.csv for the six deferred parts.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20" customHeight="1">
      <c r="A54" s="2" t="str">
        <v>F1 holder and fuse insert are separate purchase lines. Stock shown is distributor stock, not JLC assembly allocation.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20" customHeight="1">
      <c r="A55" s="2" t="str">
        <v>Enter full five-board service quotes below. Enter 0 only when confirmed included or free.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25" customHeight="1">
      <c r="A56" s="12" t="str">
        <v>BUILD COSTS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ht="20" customHeight="1">
      <c r="A57" s="2" t="str">
        <v>Cost item</v>
      </c>
      <c r="B57" s="2"/>
      <c r="C57" s="2"/>
      <c r="D57" s="2"/>
      <c r="E57" s="2" t="str">
        <v>Basis / scope</v>
      </c>
      <c r="F57" s="2"/>
      <c r="G57" s="2"/>
      <c r="H57" s="2"/>
      <c r="I57" s="2" t="str">
        <v>Batch quote USD</v>
      </c>
      <c r="J57" s="2"/>
      <c r="K57" s="2" t="str">
        <v>Status</v>
      </c>
    </row>
    <row r="58" ht="20" customHeight="1">
      <c r="A58" s="2" t="str">
        <v>PCB fabrication</v>
      </c>
      <c r="B58" s="2"/>
      <c r="C58" s="2"/>
      <c r="D58" s="2"/>
      <c r="E58" s="2" t="str">
        <v>Five bare boards</v>
      </c>
      <c r="F58" s="2"/>
      <c r="G58" s="2"/>
      <c r="H58" s="2"/>
      <c r="I58" s="59"/>
      <c r="J58" s="5"/>
      <c r="K58" s="2" t="str">
        <f>IF(ISNUMBER(I58),"Entered","Quote needed")</f>
        <v>Quote needed</v>
      </c>
    </row>
    <row r="59" ht="20" customHeight="1">
      <c r="A59" s="2" t="str">
        <v>PnP / assembly labor</v>
      </c>
      <c r="B59" s="2"/>
      <c r="C59" s="2"/>
      <c r="D59" s="2"/>
      <c r="E59" s="2" t="str">
        <v>All five boards, including manual / THT work</v>
      </c>
      <c r="F59" s="2"/>
      <c r="G59" s="2"/>
      <c r="H59" s="2"/>
      <c r="I59" s="59"/>
      <c r="J59" s="5"/>
      <c r="K59" s="2" t="str">
        <f>IF(ISNUMBER(I59),"Entered","Quote needed")</f>
        <v>Quote needed</v>
      </c>
    </row>
    <row r="60" ht="20" customHeight="1">
      <c r="A60" s="2" t="str">
        <v>Stencil</v>
      </c>
      <c r="B60" s="2"/>
      <c r="C60" s="2"/>
      <c r="D60" s="2"/>
      <c r="E60" s="2" t="str">
        <v>Stencil and frame</v>
      </c>
      <c r="F60" s="2"/>
      <c r="G60" s="2"/>
      <c r="H60" s="2"/>
      <c r="I60" s="59"/>
      <c r="J60" s="5"/>
      <c r="K60" s="2" t="str">
        <f>IF(ISNUMBER(I60),"Entered","Quote needed")</f>
        <v>Quote needed</v>
      </c>
    </row>
    <row r="61" ht="20" customHeight="1">
      <c r="A61" s="2" t="str">
        <v>Paste and consumables</v>
      </c>
      <c r="B61" s="2"/>
      <c r="C61" s="2"/>
      <c r="D61" s="2"/>
      <c r="E61" s="2" t="str">
        <v>Solder paste, solder and cleaning supplies</v>
      </c>
      <c r="F61" s="2"/>
      <c r="G61" s="2"/>
      <c r="H61" s="2"/>
      <c r="I61" s="59"/>
      <c r="J61" s="5"/>
      <c r="K61" s="2" t="str">
        <f>IF(ISNUMBER(I61),"Entered","Quote needed")</f>
        <v>Quote needed</v>
      </c>
    </row>
    <row r="62" ht="20" customHeight="1">
      <c r="A62" s="2" t="str">
        <v>Setup and programming</v>
      </c>
      <c r="B62" s="2"/>
      <c r="C62" s="2"/>
      <c r="D62" s="2"/>
      <c r="E62" s="2" t="str">
        <v>Machine setup, feeders and programming</v>
      </c>
      <c r="F62" s="2"/>
      <c r="G62" s="2"/>
      <c r="H62" s="2"/>
      <c r="I62" s="59"/>
      <c r="J62" s="5"/>
      <c r="K62" s="2" t="str">
        <f>IF(ISNUMBER(I62),"Entered","Quote needed")</f>
        <v>Quote needed</v>
      </c>
    </row>
    <row r="63" ht="20" customHeight="1">
      <c r="A63" s="2" t="str">
        <v>Reel / tape preparation</v>
      </c>
      <c r="B63" s="2"/>
      <c r="C63" s="2"/>
      <c r="D63" s="2"/>
      <c r="E63" s="2" t="str">
        <v>Tape leaders and component handling</v>
      </c>
      <c r="F63" s="2"/>
      <c r="G63" s="2"/>
      <c r="H63" s="2"/>
      <c r="I63" s="59"/>
      <c r="J63" s="5"/>
      <c r="K63" s="2" t="str">
        <f>IF(ISNUMBER(I63),"Entered","Quote needed")</f>
        <v>Quote needed</v>
      </c>
    </row>
    <row r="64" ht="20" customHeight="1">
      <c r="A64" s="2" t="str">
        <v>Shipping</v>
      </c>
      <c r="B64" s="2"/>
      <c r="C64" s="2"/>
      <c r="D64" s="2"/>
      <c r="E64" s="2" t="str">
        <v>Parts and PCB delivery</v>
      </c>
      <c r="F64" s="2"/>
      <c r="G64" s="2"/>
      <c r="H64" s="2"/>
      <c r="I64" s="59"/>
      <c r="J64" s="5"/>
      <c r="K64" s="2" t="str">
        <f>IF(ISNUMBER(I64),"Entered","Quote needed")</f>
        <v>Quote needed</v>
      </c>
    </row>
    <row r="65" ht="20" customHeight="1">
      <c r="A65" s="2" t="str">
        <v>Taxes and duties</v>
      </c>
      <c r="B65" s="2"/>
      <c r="C65" s="2"/>
      <c r="D65" s="2"/>
      <c r="E65" s="2" t="str">
        <v>Sales tax, duty and tariffs</v>
      </c>
      <c r="F65" s="2"/>
      <c r="G65" s="2"/>
      <c r="H65" s="2"/>
      <c r="I65" s="59"/>
      <c r="J65" s="5"/>
      <c r="K65" s="2" t="str">
        <f>IF(ISNUMBER(I65),"Entered","Quote needed")</f>
        <v>Quote needed</v>
      </c>
    </row>
    <row r="66" ht="20" customHeight="1">
      <c r="A66" s="2" t="str">
        <v>Testing / inspection</v>
      </c>
      <c r="B66" s="2"/>
      <c r="C66" s="2"/>
      <c r="D66" s="2"/>
      <c r="E66" s="2" t="str">
        <v>Inspection, testing and rework</v>
      </c>
      <c r="F66" s="2"/>
      <c r="G66" s="2"/>
      <c r="H66" s="2"/>
      <c r="I66" s="59"/>
      <c r="J66" s="5"/>
      <c r="K66" s="2" t="str">
        <f>IF(ISNUMBER(I66),"Entered","Quote needed")</f>
        <v>Quote needed</v>
      </c>
    </row>
    <row r="67" ht="20" customHeight="1">
      <c r="A67" s="2" t="str">
        <v>Other costs</v>
      </c>
      <c r="B67" s="2"/>
      <c r="C67" s="2"/>
      <c r="D67" s="2"/>
      <c r="E67" s="2" t="str">
        <v>Remaining quoted expenses</v>
      </c>
      <c r="F67" s="2"/>
      <c r="G67" s="2"/>
      <c r="H67" s="2"/>
      <c r="I67" s="59"/>
      <c r="J67" s="5"/>
      <c r="K67" s="2" t="str">
        <f>IF(ISNUMBER(I67),"Entered","Quote needed")</f>
        <v>Quote needed</v>
      </c>
    </row>
    <row r="68" ht="25" customHeight="1">
      <c r="A68" s="57" t="str">
        <v>Known budget subtotal (parts plus entered service quotes)</v>
      </c>
      <c r="B68" s="57"/>
      <c r="C68" s="57"/>
      <c r="D68" s="57"/>
      <c r="E68" s="57"/>
      <c r="F68" s="57"/>
      <c r="G68" s="57"/>
      <c r="H68" s="58" t="n">
        <f>D5+SUM(I58:I67)</f>
        <v>785.7914000000001</v>
      </c>
      <c r="I68" s="58"/>
      <c r="J68" s="58"/>
      <c r="K68" s="58"/>
    </row>
    <row r="69" ht="25" customHeight="1">
      <c r="A69" s="57" t="str">
        <v>Full five-board build cost (includes procurement spares)</v>
      </c>
      <c r="B69" s="57"/>
      <c r="C69" s="57"/>
      <c r="D69" s="57"/>
      <c r="E69" s="57"/>
      <c r="F69" s="57"/>
      <c r="G69" s="57"/>
      <c r="H69" s="58"/>
      <c r="I69" s="58"/>
      <c r="J69" s="58"/>
      <c r="K69" s="58" t="str">
        <f>IF(COUNT(F10,F11,F12,F13,F14,F15,F16,F17,F18,F19,F20,F21,F22,F23,F24,F25,F26,F27,F28,F29,F30,F31,F33,F34,F35,F36,F37,F38,F39,F40,F41,F42,F43,F44,F45,F46,F47,F48,F49,F51)+COUNT(I58:I67)=50,H68,"Quote needed")</f>
        <v>Quote needed</v>
      </c>
    </row>
    <row r="70" ht="25" customHeight="1">
      <c r="A70" s="57" t="str">
        <v>All-in cost per assembled board</v>
      </c>
      <c r="B70" s="57"/>
      <c r="C70" s="57"/>
      <c r="D70" s="57"/>
      <c r="E70" s="57"/>
      <c r="F70" s="57"/>
      <c r="G70" s="57"/>
      <c r="H70" s="58"/>
      <c r="I70" s="58"/>
      <c r="J70" s="58"/>
      <c r="K70" s="58" t="str">
        <f>IF(ISNUMBER(K69),K69/$B$3,"Quote needed")</f>
        <v>Quote needed</v>
      </c>
    </row>
    <row r="71" ht="20" customHeight="1">
      <c r="A71" s="2" t="str">
        <v>Full build cost remains pending until every part price and service quote is entered. Stock warnings remain separate.</v>
      </c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2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2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2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2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2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2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2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2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2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2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2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2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2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2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2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2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2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2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2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2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2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2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2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2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2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2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2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2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2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>
    <mergeCell ref="A1:K1"/>
    <mergeCell ref="A2:K2"/>
    <mergeCell ref="I3:K3"/>
    <mergeCell ref="A4:K4"/>
    <mergeCell ref="A5:C5"/>
    <mergeCell ref="D5:E5"/>
    <mergeCell ref="F5:G5"/>
    <mergeCell ref="I5:J5"/>
    <mergeCell ref="A6:C6"/>
    <mergeCell ref="D6:E6"/>
    <mergeCell ref="F6:G6"/>
    <mergeCell ref="I6:J6"/>
    <mergeCell ref="A7:K7"/>
    <mergeCell ref="A9:G9"/>
    <mergeCell ref="I9:K9"/>
    <mergeCell ref="A32:G32"/>
    <mergeCell ref="I32:K32"/>
    <mergeCell ref="A50:G50"/>
    <mergeCell ref="I50:K50"/>
    <mergeCell ref="A52:F52"/>
    <mergeCell ref="A53:K53"/>
    <mergeCell ref="A54:K54"/>
    <mergeCell ref="A55:K55"/>
    <mergeCell ref="A56:K56"/>
    <mergeCell ref="A57:D57"/>
    <mergeCell ref="E57:H57"/>
    <mergeCell ref="I57:J57"/>
    <mergeCell ref="A58:D58"/>
    <mergeCell ref="E58:H58"/>
    <mergeCell ref="I58:J58"/>
    <mergeCell ref="A59:D59"/>
    <mergeCell ref="E59:H59"/>
    <mergeCell ref="I59:J59"/>
    <mergeCell ref="A60:D60"/>
    <mergeCell ref="E60:H60"/>
    <mergeCell ref="I60:J60"/>
    <mergeCell ref="A61:D61"/>
    <mergeCell ref="E61:H61"/>
    <mergeCell ref="I61:J61"/>
    <mergeCell ref="A62:D62"/>
    <mergeCell ref="E62:H62"/>
    <mergeCell ref="I62:J62"/>
    <mergeCell ref="A63:D63"/>
    <mergeCell ref="E63:H63"/>
    <mergeCell ref="I63:J63"/>
    <mergeCell ref="A64:D64"/>
    <mergeCell ref="E64:H64"/>
    <mergeCell ref="I64:J64"/>
    <mergeCell ref="A65:D65"/>
    <mergeCell ref="E65:H65"/>
    <mergeCell ref="I65:J65"/>
    <mergeCell ref="A66:D66"/>
    <mergeCell ref="E66:H66"/>
    <mergeCell ref="I66:J66"/>
    <mergeCell ref="A67:D67"/>
    <mergeCell ref="E67:H67"/>
    <mergeCell ref="I67:J67"/>
    <mergeCell ref="A68:G68"/>
    <mergeCell ref="H68:K68"/>
    <mergeCell ref="A69:J69"/>
    <mergeCell ref="A70:J70"/>
    <mergeCell ref="A71:K71"/>
  </mergeCells>
  <hyperlinks>
    <hyperlink ref="K10" r:id="purchase0" display="View part" tooltip="Open LCSC part page"/>
    <hyperlink ref="K11" r:id="purchase1" display="View part" tooltip="Open LCSC part page"/>
    <hyperlink ref="K12" r:id="purchase2" display="View part" tooltip="Open LCSC part page"/>
    <hyperlink ref="K13" r:id="purchase3" display="View part" tooltip="Open LCSC part page"/>
    <hyperlink ref="K14" r:id="purchase4" display="View part" tooltip="Open LCSC part page"/>
    <hyperlink ref="K15" r:id="purchase5" display="View part" tooltip="Open LCSC part page"/>
    <hyperlink ref="K16" r:id="purchase6" display="View part" tooltip="Open LCSC part page"/>
    <hyperlink ref="K17" r:id="purchase7" display="View part" tooltip="Open LCSC part page"/>
    <hyperlink ref="K18" r:id="purchase8" display="View part" tooltip="Open LCSC part page"/>
    <hyperlink ref="K19" r:id="purchase9" display="View part" tooltip="Open LCSC part page"/>
    <hyperlink ref="K20" r:id="purchase10" display="View part" tooltip="Open LCSC part page"/>
    <hyperlink ref="K21" r:id="purchase11" display="View part" tooltip="Open LCSC part page"/>
    <hyperlink ref="K22" r:id="purchase12" display="View part" tooltip="Open LCSC part page"/>
    <hyperlink ref="K23" r:id="purchase13" display="View part" tooltip="Open LCSC part page"/>
    <hyperlink ref="K24" r:id="purchase14" display="View part" tooltip="Open LCSC part page"/>
    <hyperlink ref="K25" r:id="purchase15" display="View part" tooltip="Open LCSC part page"/>
    <hyperlink ref="K26" r:id="purchase16" display="View part" tooltip="Open LCSC part page"/>
    <hyperlink ref="K27" r:id="purchase17" display="View part" tooltip="Open LCSC part page"/>
    <hyperlink ref="K28" r:id="purchase18" display="View part" tooltip="Open LCSC part page"/>
    <hyperlink ref="K29" r:id="purchase19" display="View part" tooltip="Open LCSC part page"/>
    <hyperlink ref="K30" r:id="purchase20" display="View part" tooltip="Open LCSC part page"/>
    <hyperlink ref="K31" r:id="purchase21" display="View part" tooltip="Open LCSC part page"/>
    <hyperlink ref="K33" r:id="purchase22" display="View part" tooltip="Open DigiKey part page"/>
    <hyperlink ref="K34" r:id="purchase23" display="View part" tooltip="Open DigiKey part page"/>
    <hyperlink ref="K35" r:id="purchase24" display="View part" tooltip="Open DigiKey part page"/>
    <hyperlink ref="K36" r:id="purchase25" display="View part" tooltip="Open DigiKey part page"/>
    <hyperlink ref="K37" r:id="purchase26" display="View part" tooltip="Open DigiKey part page"/>
    <hyperlink ref="K38" r:id="purchase27" display="View part" tooltip="Open DigiKey part page"/>
    <hyperlink ref="K39" r:id="purchase28" display="View part" tooltip="Open DigiKey part page"/>
    <hyperlink ref="K40" r:id="purchase29" display="View part" tooltip="Open DigiKey part page"/>
    <hyperlink ref="K41" r:id="purchase30" display="View part" tooltip="Open DigiKey part page"/>
    <hyperlink ref="K42" r:id="purchase31" display="View part" tooltip="Open DigiKey part page"/>
    <hyperlink ref="K43" r:id="purchase32" display="View part" tooltip="Open DigiKey part page"/>
    <hyperlink ref="K44" r:id="purchase33" display="View part" tooltip="Open DigiKey part page"/>
    <hyperlink ref="K45" r:id="purchase34" display="View part" tooltip="Open DigiKey part page"/>
    <hyperlink ref="K46" r:id="purchase35" display="View part" tooltip="Open DigiKey part page"/>
    <hyperlink ref="K47" r:id="purchase36" display="View part" tooltip="Open DigiKey part page"/>
    <hyperlink ref="K48" r:id="purchase37" display="View part" tooltip="Open DigiKey part page"/>
    <hyperlink ref="K49" r:id="purchase38" display="View part" tooltip="Open DigiKey part page"/>
    <hyperlink ref="K51" r:id="purchase39" display="View part" tooltip="Open Newark part page"/>
  </hyperlinks>
  <pageMargins left="0.7" right="0.7" top="0.75" bottom="0.75" header="0.3" footer="0.3"/>
</worksheet>
</file>