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876de2ae1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 List" sheetId="1" r:id="R9743027f508b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00"/>
    <x:numFmt numFmtId="201" formatCode="$#,##0.00"/>
    <x:numFmt numFmtId="202" formatCode="0%"/>
    <x:numFmt numFmtId="203" formatCode="#,##0"/>
    <x:numFmt numFmtId="204" formatCode="$0.0000"/>
    <x:numFmt numFmtId="205" formatCode="$0.00"/>
  </x:numFmts>
  <x:fonts count="1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5B6773"/>
      <x:name val="Carlito"/>
    </x:font>
    <x:font>
      <x:sz val="11"/>
      <x:color rgb="FF1563B2"/>
      <x:name val="Carlito"/>
    </x:font>
    <x:font>
      <x:b/>
      <x:sz val="10"/>
      <x:color rgb="FF172B4D"/>
      <x:name val="Arial"/>
    </x:font>
    <x:font>
      <x:sz val="10"/>
      <x:color rgb="FF172B4D"/>
      <x:name val="Arial"/>
    </x:font>
    <x:font>
      <x:b/>
      <x:sz val="14"/>
      <x:color rgb="FFFFFFFF"/>
      <x:name val="Arial"/>
    </x:font>
    <x:font>
      <x:sz val="10"/>
      <x:color rgb="FF526579"/>
      <x:name val="Arial"/>
    </x:font>
    <x:font>
      <x:b/>
      <x:sz val="10"/>
      <x:color rgb="FF7B4B00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  <x:font>
      <x:b/>
      <x:sz val="14"/>
      <x:color rgb="FF172B4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FFF0D5"/>
      </x:patternFill>
    </x:fill>
    <x:fill>
      <x:patternFill patternType="solid">
        <x:fgColor rgb="FF23608E"/>
      </x:patternFill>
    </x:fill>
    <x:fill>
      <x:patternFill patternType="solid">
        <x:fgColor rgb="FF19334D"/>
      </x:patternFill>
    </x:fill>
    <x:fill>
      <x:patternFill patternType="solid">
        <x:fgColor rgb="FFFFF1D6"/>
      </x:patternFill>
    </x:fill>
    <x:fill>
      <x:patternFill patternType="solid">
        <x:fgColor rgb="FF254B68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202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5" fillId="4" borderId="0" xfId="0" applyNumberFormat="1" applyFont="1" applyFill="1" applyBorder="1"/>
    <x:xf numFmtId="200" fontId="6" fillId="0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8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6" borderId="0" xfId="0" applyNumberFormat="1" applyFont="1" applyFill="1" applyBorder="1"/>
    <x:xf numFmtId="0" fontId="9" fillId="6" borderId="0" xfId="0" applyNumberFormat="1" applyFont="1" applyFill="1" applyBorder="1"/>
    <x:xf numFmtId="0" fontId="5" fillId="7" borderId="0" xfId="0" applyNumberFormat="1" applyFont="1" applyFill="1" applyBorder="1"/>
    <x:xf numFmtId="0" fontId="6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right" vertical="center" wrapText="1"/>
    </x:xf>
    <x:xf numFmtId="200" fontId="6" fillId="0" borderId="0" xfId="0" applyNumberFormat="1" applyFont="1" applyFill="1" applyBorder="1" applyAlignment="1">
      <x:alignment horizontal="right" vertical="center" wrapText="1"/>
    </x:xf>
    <x:xf numFmtId="203" fontId="6" fillId="0" borderId="0" xfId="0" applyNumberFormat="1" applyFont="1" applyFill="1" applyBorder="1" applyAlignment="1">
      <x:alignment horizontal="right" vertical="center" wrapText="1"/>
    </x:xf>
    <x:xf numFmtId="204" fontId="6" fillId="0" borderId="0" xfId="0" applyNumberFormat="1" applyFont="1" applyFill="1" applyBorder="1" applyAlignment="1">
      <x:alignment horizontal="right" vertical="center" wrapText="1"/>
    </x:xf>
    <x:xf numFmtId="205" fontId="6" fillId="0" borderId="0" xfId="0" applyNumberFormat="1" applyFont="1" applyFill="1" applyBorder="1" applyAlignment="1">
      <x:alignment horizontal="right" vertical="center" wrapText="1"/>
    </x:xf>
    <x:xf numFmtId="205" fontId="6" fillId="0" borderId="0" xfId="0" applyNumberFormat="1" applyFont="1" applyFill="1" applyBorder="1" applyAlignment="1">
      <x:alignment vertical="center" wrapText="1"/>
    </x:xf>
    <x:xf numFmtId="205" fontId="12" fillId="0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  <x:xf numFmtId="204" fontId="6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2222"/>
      </x:font>
      <x:fill>
        <x:patternFill patternType="solid">
          <x:bgColor rgb="FFFCE4E4"/>
        </x:patternFill>
      </x:fill>
    </x:dxf>
    <x:dxf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25b376cff40e0" /><Relationship Type="http://schemas.openxmlformats.org/officeDocument/2006/relationships/theme" Target="/xl/theme/theme1.xml" Id="Rb736e19bb7ab4f2f" /><Relationship Type="http://schemas.openxmlformats.org/officeDocument/2006/relationships/sharedStrings" Target="/xl/sharedStrings.xml" Id="Ra34be50621dd456c" /><Relationship Type="http://schemas.openxmlformats.org/officeDocument/2006/relationships/worksheet" Target="/xl/worksheets/sheet1.xml" Id="R9743027f508b411c" /></Relationships>
</file>

<file path=xl/tables/table1.xml><?xml version="1.0" encoding="utf-8"?>
<x:table xmlns:x="http://schemas.openxmlformats.org/spreadsheetml/2006/main" id="1" name="Procurement" displayName="Procurement" ref="A7:M47" headerRowCount="1" totalsRowCount="0" totalsRowShown="0">
  <x:autoFilter ref="A7:M47"/>
  <x:tableColumns count="13">
    <x:tableColumn id="1" name="Reference"/>
    <x:tableColumn id="2" name="Component"/>
    <x:tableColumn id="3" name="Manufacturer"/>
    <x:tableColumn id="4" name="Part Number"/>
    <x:tableColumn id="5" name="Supplier"/>
    <x:tableColumn id="6" name="Supplier Link"/>
    <x:tableColumn id="7" name="Qty/Board"/>
    <x:tableColumn id="8" name="Order Qty"/>
    <x:tableColumn id="9" name="Unit Price"/>
    <x:tableColumn id="10" name="Cost/Board"/>
    <x:tableColumn id="11" name="Order Total"/>
    <x:tableColumn id="12" name="Stock / Review"/>
    <x:tableColumn id="13" name="Original Part (if changed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ingPlan" displayName="SourcingPlan" ref="A51:M59" headerRowCount="1" totalsRowCount="0" totalsRowShown="0">
  <x:autoFilter ref="A51:M59"/>
  <x:tableColumns count="13">
    <x:tableColumn id="1" name="Reference"/>
    <x:tableColumn id="2" name="Candidate / Route"/>
    <x:tableColumn id="3" name="Manufacturer"/>
    <x:tableColumn id="4" name="Candidate Part Number"/>
    <x:tableColumn id="5" name="Supplier"/>
    <x:tableColumn id="6" name="Candidate Link"/>
    <x:tableColumn id="7" name="Stock"/>
    <x:tableColumn id="8" name="Plan Qty"/>
    <x:tableColumn id="9" name="Unit Price (USD)"/>
    <x:tableColumn id="10" name="Footprint"/>
    <x:tableColumn id="11" name="Electrical Match"/>
    <x:tableColumn id="12" name="Proposed Solution / Next Step"/>
    <x:tableColumn id="13" name="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92b42be3b981495e" /><ns0:Relationship Type="http://schemas.openxmlformats.org/officeDocument/2006/relationships/table" Target="/xl/tables/table2.xml" Id="Rd4acd364934d4c2d" /><ns0:Relationship Id="checkedSupplier8" Type="http://schemas.openxmlformats.org/officeDocument/2006/relationships/hyperlink" Target="https://www.digikey.com/en/products/detail/tdk/C2012C0G2A223J125AC/5023395" TargetMode="External" /><ns0:Relationship Id="checkedSupplier9" Type="http://schemas.openxmlformats.org/officeDocument/2006/relationships/hyperlink" Target="https://www.digikey.com/en/products/detail/tdk/B32529C0105K000/1089750" TargetMode="External" /><ns0:Relationship Id="checkedSupplier10" Type="http://schemas.openxmlformats.org/officeDocument/2006/relationships/hyperlink" Target="https://www.digikey.com/en/products/detail/panasonic-industry/EEH-ZS1H221P/9696292" TargetMode="External" /><ns0:Relationship Id="checkedSupplier11" Type="http://schemas.openxmlformats.org/officeDocument/2006/relationships/hyperlink" Target="https://www.digikey.com/en/products/detail/yageo/CC0805KRX7R9BB104/302874" TargetMode="External" /><ns0:Relationship Id="checkedSupplier12" Type="http://schemas.openxmlformats.org/officeDocument/2006/relationships/hyperlink" Target="https://www.digikey.com/en/products/detail/yageo/CC0603KRX7R9BB104/2103082" TargetMode="External" /><ns0:Relationship Id="checkedSupplier13" Type="http://schemas.openxmlformats.org/officeDocument/2006/relationships/hyperlink" Target="https://www.digikey.com/en/products/detail/bourns-inc/SMAJ24CA/2254533" TargetMode="External" /><ns0:Relationship Id="checkedSupplier14" Type="http://schemas.openxmlformats.org/officeDocument/2006/relationships/hyperlink" Target="https://www.digikey.com/en/products/detail/stmicroelectronics/STPST10H100SB-TR/18700338" TargetMode="External" /><ns0:Relationship Id="checkedSupplier15" Type="http://schemas.openxmlformats.org/officeDocument/2006/relationships/hyperlink" Target="https://www.digikey.com/en/products/detail/bourns-inc/SMBJ18CA/2254206" TargetMode="External" /><ns0:Relationship Id="checkedSupplier16" Type="http://schemas.openxmlformats.org/officeDocument/2006/relationships/hyperlink" Target="https://www.digikey.com/en/products/detail/keystone-electronics/3568/2137306" TargetMode="External" /><ns0:Relationship Id="checkedSupplier17" Type="http://schemas.openxmlformats.org/officeDocument/2006/relationships/hyperlink" Target="https://www.digikey.com/en/products/detail/littelfuse-inc/029707-5WXNV/146586" TargetMode="External" /><ns0:Relationship Id="checkedSupplier18" Type="http://schemas.openxmlformats.org/officeDocument/2006/relationships/hyperlink" Target="https://www.digikey.com/en/products/detail/schurter-inc/3-140-177/20532467" TargetMode="External" /><ns0:Relationship Id="checkedSupplier19" Type="http://schemas.openxmlformats.org/officeDocument/2006/relationships/hyperlink" Target="https://www.digikey.com/en/products/detail/infineon-technologies/ISC015N06NM5LF2ATMA1/22157619" TargetMode="External" /><ns0:Relationship Id="checkedSupplier20" Type="http://schemas.openxmlformats.org/officeDocument/2006/relationships/hyperlink" Target="https://www.digikey.com/en/products/detail/infineon-technologies/BSC070N10NS5ATMA1/5413723" TargetMode="External" /><ns0:Relationship Id="checkedSupplier21" Type="http://schemas.openxmlformats.org/officeDocument/2006/relationships/hyperlink" Target="https://www.digikey.com/en/products/detail/yageo/RC0805FR-07237KL/727754" TargetMode="External" /><ns0:Relationship Id="checkedSupplier22" Type="http://schemas.openxmlformats.org/officeDocument/2006/relationships/hyperlink" Target="https://www.digikey.com/en/products/detail/yageo/RC0805FR-074K7L/727929" TargetMode="External" /><ns0:Relationship Id="checkedSupplier23" Type="http://schemas.openxmlformats.org/officeDocument/2006/relationships/hyperlink" Target="https://www.digikey.com/en/products/detail/yageo/RT0805BRD071K58L/1075685" TargetMode="External" /><ns0:Relationship Id="checkedSupplier24" Type="http://schemas.openxmlformats.org/officeDocument/2006/relationships/hyperlink" Target="https://www.digikey.com/en/products/detail/yageo/RC0805FR-071KL/727444" TargetMode="External" /><ns0:Relationship Id="checkedSupplier25" Type="http://schemas.openxmlformats.org/officeDocument/2006/relationships/hyperlink" Target="https://www.digikey.com/en/products/detail/yageo/RC0805FR-0754K9L/728029" TargetMode="External" /><ns0:Relationship Id="checkedSupplier26" Type="http://schemas.openxmlformats.org/officeDocument/2006/relationships/hyperlink" Target="https://www.digikey.com/en/products/detail/yageo/RC0805JR-0722ML/5919060" TargetMode="External" /><ns0:Relationship Id="checkedSupplier27" Type="http://schemas.openxmlformats.org/officeDocument/2006/relationships/hyperlink" Target="https://www.digikey.com/en/products/detail/yageo/RC0805FR-0710KL/727535" TargetMode="External" /><ns0:Relationship Id="checkedSupplier28" Type="http://schemas.openxmlformats.org/officeDocument/2006/relationships/hyperlink" Target="https://www.digikey.com/en/products/detail/vishay-dale/CRCW25121K00FKEGHP/2222612" TargetMode="External" /><ns0:Relationship Id="checkedSupplier29" Type="http://schemas.openxmlformats.org/officeDocument/2006/relationships/hyperlink" Target="https://www.digikey.com/en/products/detail/yageo/RC0805FR-0711K8L/727558" TargetMode="External" /><ns0:Relationship Id="checkedSupplier30" Type="http://schemas.openxmlformats.org/officeDocument/2006/relationships/hyperlink" Target="https://www.digikey.com/en/products/detail/vishay-dale/CRCW25121R00FKEGHP/2222582" TargetMode="External" /><ns0:Relationship Id="checkedSupplier31" Type="http://schemas.openxmlformats.org/officeDocument/2006/relationships/hyperlink" Target="https://www.digikey.com/en/products/detail/yageo/RC0805FR-072ML/727665" TargetMode="External" /><ns0:Relationship Id="checkedSupplier32" Type="http://schemas.openxmlformats.org/officeDocument/2006/relationships/hyperlink" Target="https://www.digikey.com/en/products/detail/yageo/RC0805FR-0722KL/727736" TargetMode="External" /><ns0:Relationship Id="checkedSupplier33" Type="http://schemas.openxmlformats.org/officeDocument/2006/relationships/hyperlink" Target="https://www.digikey.com/en/products/detail/ohmite/FC4L64R005FER/3476128" TargetMode="External" /><ns0:Relationship Id="checkedSupplier34" Type="http://schemas.openxmlformats.org/officeDocument/2006/relationships/hyperlink" Target="https://www.digikey.com/en/products/detail/yageo/RC0805FR-07680KL/731049" TargetMode="External" /><ns0:Relationship Id="checkedSupplier35" Type="http://schemas.openxmlformats.org/officeDocument/2006/relationships/hyperlink" Target="https://www.digikey.com/en/products/detail/yageo/RC0805FR-0710RL/727534" TargetMode="External" /><ns0:Relationship Id="checkedSupplier36" Type="http://schemas.openxmlformats.org/officeDocument/2006/relationships/hyperlink" Target="https://www.digikey.com/en/products/detail/analog-devices-inc/LTC4368HMS-1-PBF/6820033" TargetMode="External" /><ns0:Relationship Id="checkedSupplier37" Type="http://schemas.openxmlformats.org/officeDocument/2006/relationships/hyperlink" Target="https://www.digikey.com/en/products/detail/analog-devices-inc/LT3010EMS8E-TRPBF/960041" TargetMode="External" /><ns0:Relationship Id="checkedSupplier38" Type="http://schemas.openxmlformats.org/officeDocument/2006/relationships/hyperlink" Target="https://www.digikey.com/en/products/detail/nexperia-usa-inc/74AUP1G07GW-125/1300720" TargetMode="External" /><ns0:Relationship Id="checkedSupplier39" Type="http://schemas.openxmlformats.org/officeDocument/2006/relationships/hyperlink" Target="https://www.digikey.com/en/products/detail/analog-devices-inc/LTC4359IMS8-TRPBF/3306830" TargetMode="External" /><ns0:Relationship Id="checkedSupplier40" Type="http://schemas.openxmlformats.org/officeDocument/2006/relationships/hyperlink" Target="https://www.mouser.com/en/ProductDetail/YAGEO/CC0805KKX7R9BB105?qs=57cj7OiSijnrKSvL75vdbQ%3D%3D" TargetMode="External" /><ns0:Relationship Id="checkedSupplier41" Type="http://schemas.openxmlformats.org/officeDocument/2006/relationships/hyperlink" Target="https://www.mouser.com/en/ProductDetail/YAGEO/AC0805FR-07100RL?qs=yhV1fb9g/KZPmqCrZLI1lw%3D%3D" TargetMode="External" /><ns0:Relationship Id="checkedSupplier42" Type="http://schemas.openxmlformats.org/officeDocument/2006/relationships/hyperlink" Target="https://www.mouser.com/en/ProductDetail/YAGEO/AC0805FR-07200KL?qs=yhV1fb9g/Kbw5hOmSj8rUw%3D%3D" TargetMode="External" /><ns0:Relationship Id="checkedSupplier43" Type="http://schemas.openxmlformats.org/officeDocument/2006/relationships/hyperlink" Target="https://www.mouser.com/en/ProductDetail/Texas-Instruments/INA238AQDGSRQ1?qs=QNEnbhJQKvZaH3/ajejFPA%3D%3D" TargetMode="External" /><ns0:Relationship Id="checkedSupplier44" Type="http://schemas.openxmlformats.org/officeDocument/2006/relationships/hyperlink" Target="https://www.newark.com/jst-japan-solderless-terminals/bm04b-ghs-tbt-lf-sn/header-1-25mm-4way-smt-vertical/dp/73M9202" TargetMode="External" /><ns0:Relationship Id="checkedSupplier45" Type="http://schemas.openxmlformats.org/officeDocument/2006/relationships/hyperlink" Target="https://www.mouser.com/en/ProductDetail/TDK/C3216X5R1H106K160AB?qs=NRhsANhppD%252BLHMbxvQzsEQ%3D%3D" TargetMode="External" /><ns0:Relationship Id="checkedSupplier46" Type="http://schemas.openxmlformats.org/officeDocument/2006/relationships/hyperlink" Target="https://www.mouser.com/en/ProductDetail/TDK/C2012X5R1E106K085AC?qs=6JAMGB%252BEdkxKBx%252Bl%252BExtPw%3D%3D" TargetMode="External" /><ns0:Relationship Id="candidateSupplier52" Type="http://schemas.openxmlformats.org/officeDocument/2006/relationships/hyperlink" Target="https://www.digikey.com/en/products/detail/tdk/B32529C0105K000/1089750" TargetMode="External" /><ns0:Relationship Id="candidateSupplier53" Type="http://schemas.openxmlformats.org/officeDocument/2006/relationships/hyperlink" Target="https://www.mouser.com/en/ProductDetail/TDK/C3216X5R1H106K160AB?qs=NRhsANhppD%252BLHMbxvQzsEQ%3D%3D" TargetMode="External" /><ns0:Relationship Id="candidateSupplier54" Type="http://schemas.openxmlformats.org/officeDocument/2006/relationships/hyperlink" Target="https://www.mouser.com/en/ProductDetail/TDK/C2012X5R1E106K085AC?qs=6JAMGB%252BEdkxKBx%252Bl%252BExtPw%3D%3D" TargetMode="External" /><ns0:Relationship Id="candidateSupplier55" Type="http://schemas.openxmlformats.org/officeDocument/2006/relationships/hyperlink" Target="https://www.mouser.com/en/ProductDetail/Texas-Instruments/INA238AQDGSRQ1?qs=QNEnbhJQKvZaH3/ajejFPA%3D%3D" TargetMode="External" /><ns0:Relationship Id="candidateSupplier56" Type="http://schemas.openxmlformats.org/officeDocument/2006/relationships/hyperlink" Target="https://www.mouser.com/en/ProductDetail/YAGEO/CC0805KKX7R9BB105?qs=57cj7OiSijnrKSvL75vdbQ%3D%3D" TargetMode="External" /><ns0:Relationship Id="candidateSupplier57" Type="http://schemas.openxmlformats.org/officeDocument/2006/relationships/hyperlink" Target="https://www.digikey.com/en/products/detail/bourns-inc/SMAJ24CA/2254533" TargetMode="External" /><ns0:Relationship Id="candidateSupplier59" Type="http://schemas.openxmlformats.org/officeDocument/2006/relationships/hyperlink" Target="https://www.newark.com/jst-japan-solderless-terminals/bm04b-ghs-tbt-lf-sn/header-1-25mm-4way-smt-vertical/dp/73M9202" TargetMode="External" /><ns0:Relationship Id="technicalF62" Type="http://schemas.openxmlformats.org/officeDocument/2006/relationships/hyperlink" Target="https://www.ti.com/lit/ds/symlink/ina238-q1.pdf" TargetMode="External" /><ns0:Relationship Id="technicalF63" Type="http://schemas.openxmlformats.org/officeDocument/2006/relationships/hyperlink" Target="https://forum.digikey.com/t/jst-gh-series-top-entry-connectors-suffix-n/4178" TargetMode="External" /><ns0:Relationship Id="technicalF64" Type="http://schemas.openxmlformats.org/officeDocument/2006/relationships/hyperlink" Target="https://www.mouser.com/en/ProductDetail/TDK/C2012X5R1E106K085AC?qs=6JAMGB%252BEdkxKBx%252Bl%252BExtPw%3D%3D" TargetMode="External" /><ns0:Relationship Id="technicalF65" Type="http://schemas.openxmlformats.org/officeDocument/2006/relationships/hyperlink" Target="https://www.newark.com/murata/grm21bz71e106ke15l/cap-mlcc-10uf-25v-0805/dp/46AM9097" TargetMode="External" /><ns0:Relationship Id="technicalF66" Type="http://schemas.openxmlformats.org/officeDocument/2006/relationships/hyperlink" Target="https://github.com/JaredGarza/Osiris_PDB_RevA/blob/main/engineering/PART_REPLACEMENT_LOG.md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5" hidden="0" customWidth="1"/>
    <col min="2" max="2" width="40" hidden="0" customWidth="1"/>
    <col min="3" max="3" width="27" hidden="0" customWidth="1"/>
    <col min="4" max="4" width="33" hidden="0" customWidth="1"/>
    <col min="5" max="5" width="13" hidden="0" customWidth="1"/>
    <col min="6" max="6" width="18" hidden="0" customWidth="1"/>
    <col min="7" max="7" width="11" hidden="0" customWidth="1"/>
    <col min="8" max="8" width="11" hidden="0" customWidth="1"/>
    <col min="9" max="9" width="14" hidden="0" customWidth="1"/>
    <col min="10" max="10" width="15" hidden="0" customWidth="1"/>
    <col min="11" max="11" width="15" hidden="0" customWidth="1"/>
    <col min="12" max="12" width="73" hidden="0" customWidth="1"/>
    <col min="13" max="13" width="31" hidden="0" customWidth="1"/>
  </cols>
  <sheetData>
    <row r="1" ht="27" customHeight="1">
      <c r="A1" s="34" t="str">
        <v>Osiris PDB REV1.1 — procurement links checked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ht="23" customHeight="1">
      <c r="A2" s="35" t="str">
        <v>DigiKey, Mouser and Newark only. China-based suppliers excluded. XT60 connectors user supplied; board design unchanged.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ht="31" customHeight="1">
      <c r="A3" s="39" t="str">
        <v>Boards</v>
      </c>
      <c r="B3" s="39" t="n">
        <v>10</v>
      </c>
      <c r="C3" s="39"/>
      <c r="D3" s="39" t="str">
        <v>Spare buffer</v>
      </c>
      <c r="E3" s="40" t="n">
        <v>0.4</v>
      </c>
      <c r="F3" s="39"/>
      <c r="G3" s="39" t="str">
        <v>Order subtotal*</v>
      </c>
      <c r="H3" s="60" t="n">
        <f>SUM(K8:K47)</f>
        <v>735.0195999999999</v>
      </c>
      <c r="I3" s="39"/>
      <c r="J3" s="39" t="str">
        <v>Per PCB*</v>
      </c>
      <c r="K3" s="60" t="n">
        <f>SUM(J8:J47)</f>
        <v>49.85529999999999</v>
      </c>
      <c r="L3" s="39"/>
      <c r="M3" s="39"/>
    </row>
    <row r="4" ht="23" customHeight="1">
      <c r="A4" s="35" t="str">
        <v>* USD subtotal includes two conditional 85 C capacitor choices; excludes user-supplied XT60s, assembly, shipping, tax and additional tariffs.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ht="23" customHeight="1">
      <c r="A5" s="44" t="str">
        <v>39 purchase rows verified: MPN, stock and USD price. Rows 45-46 remain conditional (85 C / bias checks); row 47 XT60s are user supplied.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ht="23" customHeight="1">
      <c r="A6" s="35" t="inlineStr">
        <is>
          <t>Sourcing plan reviewed 2026-10-23 15:59 CDT; inventory snapshots from October 23, 2026 product pages. Per-board quantities retained. XT60 order excluded; C4/C9=28 and C6=14. No China-based suppliers.</t>
        </is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ht="30" customHeight="1">
      <c r="A7" s="50" t="str">
        <v>Reference</v>
      </c>
      <c r="B7" s="50" t="str">
        <v>Component</v>
      </c>
      <c r="C7" s="50" t="str">
        <v>Manufacturer</v>
      </c>
      <c r="D7" s="50" t="str">
        <v>Part Number</v>
      </c>
      <c r="E7" s="50" t="str">
        <v>Supplier</v>
      </c>
      <c r="F7" s="50" t="str">
        <v>Supplier Link</v>
      </c>
      <c r="G7" s="50" t="str">
        <v>Qty/Board</v>
      </c>
      <c r="H7" s="50" t="str">
        <v>Order Qty</v>
      </c>
      <c r="I7" s="50" t="str">
        <v>Unit Price</v>
      </c>
      <c r="J7" s="50" t="str">
        <v>Cost/Board</v>
      </c>
      <c r="K7" s="50" t="str">
        <v>Order Total</v>
      </c>
      <c r="L7" s="50" t="str">
        <v>Stock / Review</v>
      </c>
      <c r="M7" s="50" t="str">
        <v>Original Part (if changed)</v>
      </c>
    </row>
    <row r="8" ht="48" customHeight="1">
      <c r="A8" s="39" t="str">
        <v>C1</v>
      </c>
      <c r="B8" s="39" t="str">
        <v>22 nF 100 V C0G ±5% 0805</v>
      </c>
      <c r="C8" s="39" t="str">
        <v>TDK</v>
      </c>
      <c r="D8" s="39" t="str">
        <v>C2012C0G2A223J125AC</v>
      </c>
      <c r="E8" s="39" t="str">
        <v>DigiKey</v>
      </c>
      <c r="F8" s="53" t="str">
        <v>Supplier Link</v>
      </c>
      <c r="G8" s="56" t="n">
        <v>1</v>
      </c>
      <c r="H8" s="56" t="n">
        <v>14</v>
      </c>
      <c r="I8" s="57" t="n">
        <v>0.192</v>
      </c>
      <c r="J8" s="58" t="n">
        <f>IF(ISNUMBER(I8),G8*I8,"n.a.")</f>
        <v>0.192</v>
      </c>
      <c r="K8" s="58" t="n">
        <f>IF(ISNUMBER(I8),H8*I8,"n.a.")</f>
        <v>2.688</v>
      </c>
      <c r="L8" s="39" t="str">
        <v>32,255 in stock. Exact 22 nF, 100 V, C0G, 5%, 0805 retained.</v>
      </c>
      <c r="M8" s="39" t="str"/>
    </row>
    <row r="9" ht="48" customHeight="1">
      <c r="A9" s="39" t="str">
        <v>C11-C16</v>
      </c>
      <c r="B9" s="39" t="str">
        <v>1 µF 63 V film capacitor, 5 mm pitch</v>
      </c>
      <c r="C9" s="39" t="str">
        <v>TDK</v>
      </c>
      <c r="D9" s="39" t="str">
        <v>B32529C0105K000</v>
      </c>
      <c r="E9" s="39" t="str">
        <v>DigiKey</v>
      </c>
      <c r="F9" s="53" t="str">
        <v>Supplier Link</v>
      </c>
      <c r="G9" s="56" t="n">
        <v>6</v>
      </c>
      <c r="H9" s="56" t="n">
        <v>84</v>
      </c>
      <c r="I9" s="57" t="n">
        <v>0.3634</v>
      </c>
      <c r="J9" s="58" t="n">
        <f>IF(ISNUMBER(I9),G9*I9,"n.a.")</f>
        <v>2.1804</v>
      </c>
      <c r="K9" s="58" t="n">
        <f>IF(ISNUMBER(I9),H9*I9,"n.a.")</f>
        <v>30.5256</v>
      </c>
      <c r="L9" s="39" t="str">
        <v>4,879 in stock. Recommended replacement: same TDK body and 5 mm pitch; tolerance +/-10% instead of +/-5%. See plan below.</v>
      </c>
      <c r="M9" s="39" t="str">
        <v>TDK B32529C0105J000</v>
      </c>
    </row>
    <row r="10" ht="48" customHeight="1">
      <c r="A10" s="39" t="str">
        <v>C17,C20</v>
      </c>
      <c r="B10" s="39" t="str">
        <v>220 µF 50 V hybrid capacitor</v>
      </c>
      <c r="C10" s="39" t="str">
        <v>Panasonic</v>
      </c>
      <c r="D10" s="39" t="str">
        <v>EEH-ZS1H221P</v>
      </c>
      <c r="E10" s="39" t="str">
        <v>DigiKey</v>
      </c>
      <c r="F10" s="53" t="str">
        <v>Supplier Link</v>
      </c>
      <c r="G10" s="56" t="n">
        <v>2</v>
      </c>
      <c r="H10" s="56" t="n">
        <v>28</v>
      </c>
      <c r="I10" s="57" t="n">
        <v>2.385</v>
      </c>
      <c r="J10" s="58" t="n">
        <f>IF(ISNUMBER(I10),G10*I10,"n.a.")</f>
        <v>4.77</v>
      </c>
      <c r="K10" s="58" t="n">
        <f>IF(ISNUMBER(I10),H10*I10,"n.a.")</f>
        <v>66.78</v>
      </c>
      <c r="L10" s="39" t="str">
        <v>67 in stock. Corrected to the standard P capacitor specified by current CAD. Original sheet V needs different solder lands; do not substitute V on this board.</v>
      </c>
      <c r="M10" s="39" t="str">
        <v>EEH-ZS1H221V</v>
      </c>
    </row>
    <row r="11" ht="48" customHeight="1">
      <c r="A11" s="39" t="str">
        <v>C19</v>
      </c>
      <c r="B11" s="39" t="str">
        <v>100 nF 50 V X7R 0805</v>
      </c>
      <c r="C11" s="39" t="str">
        <v>YAGEO</v>
      </c>
      <c r="D11" s="39" t="str">
        <v>CC0805KRX7R9BB104</v>
      </c>
      <c r="E11" s="39" t="str">
        <v>DigiKey</v>
      </c>
      <c r="F11" s="53" t="str">
        <v>Supplier Link</v>
      </c>
      <c r="G11" s="56" t="n">
        <v>1</v>
      </c>
      <c r="H11" s="56" t="n">
        <v>100</v>
      </c>
      <c r="I11" s="57" t="n">
        <v>0.0595</v>
      </c>
      <c r="J11" s="58" t="n">
        <f>IF(ISNUMBER(I11),G11*I11,"n.a.")</f>
        <v>0.0595</v>
      </c>
      <c r="K11" s="58" t="n">
        <f>IF(ISNUMBER(I11),H11*I11,"n.a.")</f>
        <v>5.949999999999999</v>
      </c>
      <c r="L11" s="39" t="str">
        <v>4,400,670 in stock. Exact part; cut-tape price at 100.</v>
      </c>
      <c r="M11" s="39" t="str"/>
    </row>
    <row r="12" ht="48" customHeight="1">
      <c r="A12" s="39" t="str">
        <v>C3,C5,C7,C8,C10</v>
      </c>
      <c r="B12" s="39" t="str">
        <v>100 nF 50 V X7R 0603</v>
      </c>
      <c r="C12" s="39" t="str">
        <v>YAGEO</v>
      </c>
      <c r="D12" s="39" t="str">
        <v>CC0603KRX7R9BB104</v>
      </c>
      <c r="E12" s="39" t="str">
        <v>DigiKey</v>
      </c>
      <c r="F12" s="53" t="str">
        <v>Supplier Link</v>
      </c>
      <c r="G12" s="56" t="n">
        <v>5</v>
      </c>
      <c r="H12" s="56" t="n">
        <v>100</v>
      </c>
      <c r="I12" s="57" t="n">
        <v>0.0478</v>
      </c>
      <c r="J12" s="58" t="n">
        <f>IF(ISNUMBER(I12),G12*I12,"n.a.")</f>
        <v>0.23900000000000002</v>
      </c>
      <c r="K12" s="58" t="n">
        <f>IF(ISNUMBER(I12),H12*I12,"n.a.")</f>
        <v>4.78</v>
      </c>
      <c r="L12" s="39" t="str">
        <v>4,050,812 in stock. Exact part; cut-tape price at 100.</v>
      </c>
      <c r="M12" s="39" t="str"/>
    </row>
    <row r="13" ht="48" customHeight="1">
      <c r="A13" s="39" t="str">
        <v>D1,D4</v>
      </c>
      <c r="B13" s="39" t="str">
        <v>SMAJ24CA TVS diode</v>
      </c>
      <c r="C13" s="39" t="str">
        <v>Bourns</v>
      </c>
      <c r="D13" s="39" t="str">
        <v>SMAJ24CA</v>
      </c>
      <c r="E13" s="39" t="str">
        <v>DigiKey</v>
      </c>
      <c r="F13" s="53" t="str">
        <v>Supplier Link</v>
      </c>
      <c r="G13" s="56" t="n">
        <v>2</v>
      </c>
      <c r="H13" s="56" t="n">
        <v>28</v>
      </c>
      <c r="I13" s="57" t="n">
        <v>0.382</v>
      </c>
      <c r="J13" s="58" t="n">
        <f>IF(ISNUMBER(I13),G13*I13,"n.a.")</f>
        <v>0.764</v>
      </c>
      <c r="K13" s="58" t="n">
        <f>IF(ISNUMBER(I13),H13*I13,"n.a.")</f>
        <v>10.696</v>
      </c>
      <c r="L13" s="39" t="str">
        <v>45,740 in stock. Recommended Bourns replacement: same SMA footprint, bidirectional 24 V / 400 W nominal TVS class. See plan; validate actual surge environment.</v>
      </c>
      <c r="M13" s="39" t="str">
        <v>RUILON SMAJ24CA</v>
      </c>
    </row>
    <row r="14" ht="48" customHeight="1">
      <c r="A14" s="39" t="str">
        <v>D3</v>
      </c>
      <c r="B14" s="39" t="str">
        <v>100 V / 10 A Schottky diode</v>
      </c>
      <c r="C14" s="39" t="str">
        <v>STMicroelectronics</v>
      </c>
      <c r="D14" s="39" t="str">
        <v>STPST10H100SB-TR</v>
      </c>
      <c r="E14" s="39" t="str">
        <v>DigiKey</v>
      </c>
      <c r="F14" s="53" t="str">
        <v>Supplier Link</v>
      </c>
      <c r="G14" s="56" t="n">
        <v>1</v>
      </c>
      <c r="H14" s="56" t="n">
        <v>14</v>
      </c>
      <c r="I14" s="57" t="n">
        <v>0.94</v>
      </c>
      <c r="J14" s="58" t="n">
        <f>IF(ISNUMBER(I14),G14*I14,"n.a.")</f>
        <v>0.94</v>
      </c>
      <c r="K14" s="58" t="n">
        <f>IF(ISNUMBER(I14),H14*I14,"n.a.")</f>
        <v>13.16</v>
      </c>
      <c r="L14" s="39" t="str">
        <v>1,082 in stock. Exact part retained.</v>
      </c>
      <c r="M14" s="39" t="str"/>
    </row>
    <row r="15" ht="48" customHeight="1">
      <c r="A15" s="39" t="str">
        <v>D5</v>
      </c>
      <c r="B15" s="39" t="str">
        <v>SMBJ18CA TVS diode</v>
      </c>
      <c r="C15" s="39" t="str">
        <v>Bourns</v>
      </c>
      <c r="D15" s="39" t="str">
        <v>SMBJ18CA</v>
      </c>
      <c r="E15" s="39" t="str">
        <v>DigiKey</v>
      </c>
      <c r="F15" s="53" t="str">
        <v>Supplier Link</v>
      </c>
      <c r="G15" s="56" t="n">
        <v>1</v>
      </c>
      <c r="H15" s="56" t="n">
        <v>14</v>
      </c>
      <c r="I15" s="57" t="n">
        <v>0.368</v>
      </c>
      <c r="J15" s="58" t="n">
        <f>IF(ISNUMBER(I15),G15*I15,"n.a.")</f>
        <v>0.368</v>
      </c>
      <c r="K15" s="58" t="n">
        <f>IF(ISNUMBER(I15),H15*I15,"n.a.")</f>
        <v>5.152</v>
      </c>
      <c r="L15" s="39" t="str">
        <v>14,970 in stock. Exact Bourns part retained.</v>
      </c>
      <c r="M15" s="39" t="str"/>
    </row>
    <row r="16" ht="48" customHeight="1">
      <c r="A16" s="39" t="str">
        <v>F1</v>
      </c>
      <c r="B16" s="39" t="str">
        <v>MINI blade fuseholder</v>
      </c>
      <c r="C16" s="39" t="str">
        <v>Keystone Electronics</v>
      </c>
      <c r="D16" s="39" t="str">
        <v>3568</v>
      </c>
      <c r="E16" s="39" t="str">
        <v>DigiKey</v>
      </c>
      <c r="F16" s="53" t="str">
        <v>Supplier Link</v>
      </c>
      <c r="G16" s="56" t="n">
        <v>1</v>
      </c>
      <c r="H16" s="56" t="n">
        <v>14</v>
      </c>
      <c r="I16" s="57" t="n">
        <v>0.989</v>
      </c>
      <c r="J16" s="58" t="n">
        <f>IF(ISNUMBER(I16),G16*I16,"n.a.")</f>
        <v>0.989</v>
      </c>
      <c r="K16" s="58" t="n">
        <f>IF(ISNUMBER(I16),H16*I16,"n.a.")</f>
        <v>13.846</v>
      </c>
      <c r="L16" s="39" t="str">
        <v>98,603 in stock. One holder per board; separate blade insert below.</v>
      </c>
      <c r="M16" s="39" t="str"/>
    </row>
    <row r="17" ht="48" customHeight="1">
      <c r="A17" s="39" t="str">
        <v>F1 fuse insert</v>
      </c>
      <c r="B17" s="39" t="str">
        <v>7.5 A MINI blade fuse insert</v>
      </c>
      <c r="C17" s="39" t="str">
        <v>Littelfuse</v>
      </c>
      <c r="D17" s="39" t="str">
        <v>029707.5WXNV</v>
      </c>
      <c r="E17" s="39" t="str">
        <v>DigiKey</v>
      </c>
      <c r="F17" s="53" t="str">
        <v>Supplier Link</v>
      </c>
      <c r="G17" s="56" t="n">
        <v>1</v>
      </c>
      <c r="H17" s="56" t="n">
        <v>14</v>
      </c>
      <c r="I17" s="57" t="n">
        <v>0.301</v>
      </c>
      <c r="J17" s="58" t="n">
        <f>IF(ISNUMBER(I17),G17*I17,"n.a.")</f>
        <v>0.301</v>
      </c>
      <c r="K17" s="58" t="n">
        <f>IF(ISNUMBER(I17),H17*I17,"n.a.")</f>
        <v>4.2139999999999995</v>
      </c>
      <c r="L17" s="39" t="str">
        <v>66,185 in stock. Exact insert retained; install after soldering.</v>
      </c>
      <c r="M17" s="39" t="str"/>
    </row>
    <row r="18" ht="48" customHeight="1">
      <c r="A18" s="39" t="str">
        <v>F2</v>
      </c>
      <c r="B18" s="39" t="str">
        <v>100 A 50 V UHS fuse</v>
      </c>
      <c r="C18" s="39" t="str">
        <v>SCHURTER</v>
      </c>
      <c r="D18" s="39" t="str">
        <v>3-140-177</v>
      </c>
      <c r="E18" s="39" t="str">
        <v>DigiKey</v>
      </c>
      <c r="F18" s="53" t="str">
        <v>Supplier Link</v>
      </c>
      <c r="G18" s="56" t="n">
        <v>1</v>
      </c>
      <c r="H18" s="56" t="n">
        <v>14</v>
      </c>
      <c r="I18" s="57" t="n">
        <v>0.991</v>
      </c>
      <c r="J18" s="58" t="n">
        <f>IF(ISNUMBER(I18),G18*I18,"n.a.")</f>
        <v>0.991</v>
      </c>
      <c r="K18" s="58" t="n">
        <f>IF(ISNUMBER(I18),H18*I18,"n.a.")</f>
        <v>13.874</v>
      </c>
      <c r="L18" s="39" t="str">
        <v>475 in stock. Exact 100 A fuse retained; fuse rating does not establish board/connector continuous-current rating.</v>
      </c>
      <c r="M18" s="39" t="str"/>
    </row>
    <row r="19" ht="48" customHeight="1">
      <c r="A19" s="39" t="str">
        <v>Q1,Q2</v>
      </c>
      <c r="B19" s="39" t="str">
        <v>60 V low-RDS(on) MOSFET</v>
      </c>
      <c r="C19" s="39" t="str">
        <v>Infineon</v>
      </c>
      <c r="D19" s="39" t="str">
        <v>ISC015N06NM5LF2ATMA1</v>
      </c>
      <c r="E19" s="39" t="str">
        <v>DigiKey</v>
      </c>
      <c r="F19" s="53" t="str">
        <v>Supplier Link</v>
      </c>
      <c r="G19" s="56" t="n">
        <v>2</v>
      </c>
      <c r="H19" s="56" t="n">
        <v>28</v>
      </c>
      <c r="I19" s="57" t="n">
        <v>2.828</v>
      </c>
      <c r="J19" s="58" t="n">
        <f>IF(ISNUMBER(I19),G19*I19,"n.a.")</f>
        <v>5.656</v>
      </c>
      <c r="K19" s="58" t="n">
        <f>IF(ISNUMBER(I19),H19*I19,"n.a.")</f>
        <v>79.184</v>
      </c>
      <c r="L19" s="39" t="str">
        <v>13,505 in stock. Exact linear-mode LF2 MOSFET retained. Do not buy ordinary NM5 as an equivalent.</v>
      </c>
      <c r="M19" s="39" t="str"/>
    </row>
    <row r="20" ht="48" customHeight="1">
      <c r="A20" s="39" t="str">
        <v>Q3</v>
      </c>
      <c r="B20" s="39" t="str">
        <v>100 V MOSFET</v>
      </c>
      <c r="C20" s="39" t="str">
        <v>Infineon</v>
      </c>
      <c r="D20" s="39" t="str">
        <v>BSC070N10NS5ATMA1</v>
      </c>
      <c r="E20" s="39" t="str">
        <v>DigiKey</v>
      </c>
      <c r="F20" s="53" t="str">
        <v>Supplier Link</v>
      </c>
      <c r="G20" s="56" t="n">
        <v>1</v>
      </c>
      <c r="H20" s="56" t="n">
        <v>14</v>
      </c>
      <c r="I20" s="57" t="n">
        <v>1.498</v>
      </c>
      <c r="J20" s="58" t="n">
        <f>IF(ISNUMBER(I20),G20*I20,"n.a.")</f>
        <v>1.498</v>
      </c>
      <c r="K20" s="58" t="n">
        <f>IF(ISNUMBER(I20),H20*I20,"n.a.")</f>
        <v>20.972</v>
      </c>
      <c r="L20" s="39" t="str">
        <v>9,569 in stock. Exact part retained.</v>
      </c>
      <c r="M20" s="39" t="str"/>
    </row>
    <row r="21" ht="48" customHeight="1">
      <c r="A21" s="39" t="str">
        <v>R1</v>
      </c>
      <c r="B21" s="39" t="str">
        <v>237 kΩ 0805 resistor</v>
      </c>
      <c r="C21" s="39" t="str">
        <v>YAGEO</v>
      </c>
      <c r="D21" s="39" t="str">
        <v>RC0805FR-07237KL</v>
      </c>
      <c r="E21" s="39" t="str">
        <v>DigiKey</v>
      </c>
      <c r="F21" s="53" t="str">
        <v>Supplier Link</v>
      </c>
      <c r="G21" s="56" t="n">
        <v>1</v>
      </c>
      <c r="H21" s="56" t="n">
        <v>100</v>
      </c>
      <c r="I21" s="57" t="n">
        <v>0.0171</v>
      </c>
      <c r="J21" s="58" t="n">
        <f>IF(ISNUMBER(I21),G21*I21,"n.a.")</f>
        <v>0.0171</v>
      </c>
      <c r="K21" s="58" t="n">
        <f>IF(ISNUMBER(I21),H21*I21,"n.a.")</f>
        <v>1.71</v>
      </c>
      <c r="L21" s="39" t="str">
        <v>126,287 in stock. Same-pad YAGEO replacement: same resistance; 0805, 1%, 125 mW, 150 V, -55 to +155 C. Power derates above 70 C. TCR +/-100 ppm/C.</v>
      </c>
      <c r="M21" s="39" t="str">
        <v>FOJAN FRC0805F2373TS</v>
      </c>
    </row>
    <row r="22" ht="48" customHeight="1">
      <c r="A22" s="39" t="str">
        <v>R10</v>
      </c>
      <c r="B22" s="39" t="str">
        <v>4.7 kΩ 0805 resistor</v>
      </c>
      <c r="C22" s="39" t="str">
        <v>YAGEO</v>
      </c>
      <c r="D22" s="39" t="str">
        <v>RC0805FR-074K7L</v>
      </c>
      <c r="E22" s="39" t="str">
        <v>DigiKey</v>
      </c>
      <c r="F22" s="53" t="str">
        <v>Supplier Link</v>
      </c>
      <c r="G22" s="56" t="n">
        <v>1</v>
      </c>
      <c r="H22" s="56" t="n">
        <v>100</v>
      </c>
      <c r="I22" s="57" t="n">
        <v>0.0171</v>
      </c>
      <c r="J22" s="58" t="n">
        <f>IF(ISNUMBER(I22),G22*I22,"n.a.")</f>
        <v>0.0171</v>
      </c>
      <c r="K22" s="58" t="n">
        <f>IF(ISNUMBER(I22),H22*I22,"n.a.")</f>
        <v>1.71</v>
      </c>
      <c r="L22" s="39" t="str">
        <v>632,109 in stock. Same-pad YAGEO replacement: same resistance; 0805, 1%, 125 mW, 150 V, -55 to +155 C. Power derates above 70 C. TCR +/-100 ppm/C.</v>
      </c>
      <c r="M22" s="39" t="str">
        <v>UNI-ROYAL 0805W8F4701T5E</v>
      </c>
    </row>
    <row r="23" ht="48" customHeight="1">
      <c r="A23" s="39" t="str">
        <v>R11</v>
      </c>
      <c r="B23" s="39" t="str">
        <v>1.58 kΩ 0.1% precision resistor</v>
      </c>
      <c r="C23" s="39" t="str">
        <v>YAGEO</v>
      </c>
      <c r="D23" s="39" t="str">
        <v>RT0805BRD071K58L</v>
      </c>
      <c r="E23" s="39" t="str">
        <v>DigiKey</v>
      </c>
      <c r="F23" s="53" t="str">
        <v>Supplier Link</v>
      </c>
      <c r="G23" s="56" t="n">
        <v>1</v>
      </c>
      <c r="H23" s="56" t="n">
        <v>14</v>
      </c>
      <c r="I23" s="57" t="n">
        <v>0.083</v>
      </c>
      <c r="J23" s="58" t="n">
        <f>IF(ISNUMBER(I23),G23*I23,"n.a.")</f>
        <v>0.083</v>
      </c>
      <c r="K23" s="58" t="n">
        <f>IF(ISNUMBER(I23),H23*I23,"n.a.")</f>
        <v>1.1620000000000001</v>
      </c>
      <c r="L23" s="39" t="str">
        <v>7,820 in stock. Existing sheet substitution from RESI: 1.58 kohm, 0.1%, 25 ppm/C, 0805. Yageo rating 125 mW versus original 130 mW; voltage rating 150 V. Original CAD MPN now recorded.</v>
      </c>
      <c r="M23" s="39" t="str">
        <v>RESI PTFR0805B1K58P9</v>
      </c>
    </row>
    <row r="24" ht="48" customHeight="1">
      <c r="A24" s="39" t="str">
        <v>R12</v>
      </c>
      <c r="B24" s="39" t="str">
        <v>1 kΩ 0805 resistor</v>
      </c>
      <c r="C24" s="39" t="str">
        <v>YAGEO</v>
      </c>
      <c r="D24" s="39" t="str">
        <v>RC0805FR-071KL</v>
      </c>
      <c r="E24" s="39" t="str">
        <v>DigiKey</v>
      </c>
      <c r="F24" s="53" t="str">
        <v>Supplier Link</v>
      </c>
      <c r="G24" s="56" t="n">
        <v>1</v>
      </c>
      <c r="H24" s="56" t="n">
        <v>100</v>
      </c>
      <c r="I24" s="57" t="n">
        <v>0.0171</v>
      </c>
      <c r="J24" s="58" t="n">
        <f>IF(ISNUMBER(I24),G24*I24,"n.a.")</f>
        <v>0.0171</v>
      </c>
      <c r="K24" s="58" t="n">
        <f>IF(ISNUMBER(I24),H24*I24,"n.a.")</f>
        <v>1.71</v>
      </c>
      <c r="L24" s="39" t="str">
        <v>647,937 in stock. Same-pad YAGEO replacement: same resistance; 0805, 1%, 125 mW, 150 V, -55 to +155 C. Power derates above 70 C. TCR +/-100 ppm/C.</v>
      </c>
      <c r="M24" s="39" t="str">
        <v>UNI-ROYAL 0805W8F1001T5E</v>
      </c>
    </row>
    <row r="25" ht="48" customHeight="1">
      <c r="A25" s="39" t="str">
        <v>R13</v>
      </c>
      <c r="B25" s="39" t="str">
        <v>54.9 kΩ 0805 resistor</v>
      </c>
      <c r="C25" s="39" t="str">
        <v>YAGEO</v>
      </c>
      <c r="D25" s="39" t="str">
        <v>RC0805FR-0754K9L</v>
      </c>
      <c r="E25" s="39" t="str">
        <v>DigiKey</v>
      </c>
      <c r="F25" s="53" t="str">
        <v>Supplier Link</v>
      </c>
      <c r="G25" s="56" t="n">
        <v>1</v>
      </c>
      <c r="H25" s="56" t="n">
        <v>100</v>
      </c>
      <c r="I25" s="57" t="n">
        <v>0.0171</v>
      </c>
      <c r="J25" s="58" t="n">
        <f>IF(ISNUMBER(I25),G25*I25,"n.a.")</f>
        <v>0.0171</v>
      </c>
      <c r="K25" s="58" t="n">
        <f>IF(ISNUMBER(I25),H25*I25,"n.a.")</f>
        <v>1.71</v>
      </c>
      <c r="L25" s="39" t="str">
        <v>18,056 in stock. Same-pad YAGEO replacement: same resistance; 0805, 1%, 125 mW, 150 V, -55 to +155 C. Power derates above 70 C. TCR +/-100 ppm/C.</v>
      </c>
      <c r="M25" s="39" t="str">
        <v>UNI-ROYAL 0805W8F5492T5E</v>
      </c>
    </row>
    <row r="26" ht="48" customHeight="1">
      <c r="A26" s="39" t="str">
        <v>R14</v>
      </c>
      <c r="B26" s="39" t="str">
        <v>22 MΩ 0805 resistor</v>
      </c>
      <c r="C26" s="39" t="str">
        <v>YAGEO</v>
      </c>
      <c r="D26" s="39" t="str">
        <v>RC0805JR-0722ML</v>
      </c>
      <c r="E26" s="39" t="str">
        <v>DigiKey</v>
      </c>
      <c r="F26" s="53" t="str">
        <v>Supplier Link</v>
      </c>
      <c r="G26" s="56" t="n">
        <v>1</v>
      </c>
      <c r="H26" s="56" t="n">
        <v>100</v>
      </c>
      <c r="I26" s="57" t="n">
        <v>0.0514</v>
      </c>
      <c r="J26" s="58" t="n">
        <f>IF(ISNUMBER(I26),G26*I26,"n.a.")</f>
        <v>0.0514</v>
      </c>
      <c r="K26" s="58" t="n">
        <f>IF(ISNUMBER(I26),H26*I26,"n.a.")</f>
        <v>5.140000000000001</v>
      </c>
      <c r="L26" s="39" t="str">
        <v>14,988 in stock. Same-pad YAGEO replacement: same resistance; 0805, 5%, 125 mW, 150 V, -55 to +155 C. Power derates above 70 C. Original FOJAN is 5%; 22 Mohm retained. TCR +/-200 ppm/C.</v>
      </c>
      <c r="M26" s="39" t="str">
        <v>FOJAN FRG0805J226TS</v>
      </c>
    </row>
    <row r="27" ht="48" customHeight="1">
      <c r="A27" s="39" t="str">
        <v>R15,R16</v>
      </c>
      <c r="B27" s="39" t="str">
        <v>10 kΩ 0805 resistor</v>
      </c>
      <c r="C27" s="39" t="str">
        <v>YAGEO</v>
      </c>
      <c r="D27" s="39" t="str">
        <v>RC0805FR-0710KL</v>
      </c>
      <c r="E27" s="39" t="str">
        <v>DigiKey</v>
      </c>
      <c r="F27" s="53" t="str">
        <v>Supplier Link</v>
      </c>
      <c r="G27" s="56" t="n">
        <v>2</v>
      </c>
      <c r="H27" s="56" t="n">
        <v>100</v>
      </c>
      <c r="I27" s="57" t="n">
        <v>0.0171</v>
      </c>
      <c r="J27" s="58" t="n">
        <f>IF(ISNUMBER(I27),G27*I27,"n.a.")</f>
        <v>0.0342</v>
      </c>
      <c r="K27" s="58" t="n">
        <f>IF(ISNUMBER(I27),H27*I27,"n.a.")</f>
        <v>1.71</v>
      </c>
      <c r="L27" s="39" t="str">
        <v>1,604,220 in stock. Same-pad YAGEO replacement: same resistance; 0805, 1%, 125 mW, 150 V, -55 to +155 C. Power derates above 70 C. TCR +/-100 ppm/C.</v>
      </c>
      <c r="M27" s="39" t="str">
        <v>UNI-ROYAL 0805W8F1002T5E</v>
      </c>
    </row>
    <row r="28" ht="48" customHeight="1">
      <c r="A28" s="39" t="str">
        <v>R19</v>
      </c>
      <c r="B28" s="39" t="str">
        <v>1 kΩ pulse-rated 2512 resistor</v>
      </c>
      <c r="C28" s="39" t="str">
        <v>Vishay Dale</v>
      </c>
      <c r="D28" s="39" t="str">
        <v>CRCW25121K00FKEGHP</v>
      </c>
      <c r="E28" s="39" t="str">
        <v>DigiKey</v>
      </c>
      <c r="F28" s="53" t="str">
        <v>Supplier Link</v>
      </c>
      <c r="G28" s="56" t="n">
        <v>1</v>
      </c>
      <c r="H28" s="56" t="n">
        <v>14</v>
      </c>
      <c r="I28" s="57" t="n">
        <v>0.47</v>
      </c>
      <c r="J28" s="58" t="n">
        <f>IF(ISNUMBER(I28),G28*I28,"n.a.")</f>
        <v>0.47</v>
      </c>
      <c r="K28" s="58" t="n">
        <f>IF(ISNUMBER(I28),H28*I28,"n.a.")</f>
        <v>6.58</v>
      </c>
      <c r="L28" s="39" t="str">
        <v>7,290 in stock. Exact pulse-rated 1.5 W part retained.</v>
      </c>
      <c r="M28" s="39" t="str"/>
    </row>
    <row r="29" ht="48" customHeight="1">
      <c r="A29" s="39" t="str">
        <v>R2</v>
      </c>
      <c r="B29" s="39" t="str">
        <v>11.8 kΩ 0805 resistor</v>
      </c>
      <c r="C29" s="39" t="str">
        <v>YAGEO</v>
      </c>
      <c r="D29" s="39" t="str">
        <v>RC0805FR-0711K8L</v>
      </c>
      <c r="E29" s="39" t="str">
        <v>DigiKey</v>
      </c>
      <c r="F29" s="53" t="str">
        <v>Supplier Link</v>
      </c>
      <c r="G29" s="56" t="n">
        <v>1</v>
      </c>
      <c r="H29" s="56" t="n">
        <v>100</v>
      </c>
      <c r="I29" s="57" t="n">
        <v>0.0171</v>
      </c>
      <c r="J29" s="58" t="n">
        <f>IF(ISNUMBER(I29),G29*I29,"n.a.")</f>
        <v>0.0171</v>
      </c>
      <c r="K29" s="58" t="n">
        <f>IF(ISNUMBER(I29),H29*I29,"n.a.")</f>
        <v>1.71</v>
      </c>
      <c r="L29" s="39" t="str">
        <v>33,364 in stock. Same-pad YAGEO replacement: same resistance; 0805, 1%, 125 mW, 150 V, -55 to +155 C. Power derates above 70 C. TCR +/-100 ppm/C.</v>
      </c>
      <c r="M29" s="39" t="str">
        <v>FOJAN FRC0805F1182TS</v>
      </c>
    </row>
    <row r="30" ht="48" customHeight="1">
      <c r="A30" s="39" t="str">
        <v>R20</v>
      </c>
      <c r="B30" s="39" t="str">
        <v>1 Ω pulse-rated 2512 resistor</v>
      </c>
      <c r="C30" s="39" t="str">
        <v>Vishay Dale</v>
      </c>
      <c r="D30" s="39" t="str">
        <v>CRCW25121R00FKEGHP</v>
      </c>
      <c r="E30" s="39" t="str">
        <v>DigiKey</v>
      </c>
      <c r="F30" s="53" t="str">
        <v>Supplier Link</v>
      </c>
      <c r="G30" s="56" t="n">
        <v>1</v>
      </c>
      <c r="H30" s="56" t="n">
        <v>14</v>
      </c>
      <c r="I30" s="57" t="n">
        <v>0.599</v>
      </c>
      <c r="J30" s="58" t="n">
        <f>IF(ISNUMBER(I30),G30*I30,"n.a.")</f>
        <v>0.599</v>
      </c>
      <c r="K30" s="58" t="n">
        <f>IF(ISNUMBER(I30),H30*I30,"n.a.")</f>
        <v>8.386</v>
      </c>
      <c r="L30" s="39" t="str">
        <v>3,683 in stock. Exact pulse-rated 1.5 W part retained.</v>
      </c>
      <c r="M30" s="39" t="str"/>
    </row>
    <row r="31" ht="48" customHeight="1">
      <c r="A31" s="39" t="str">
        <v>R3</v>
      </c>
      <c r="B31" s="39" t="str">
        <v>2 MΩ 0805 resistor</v>
      </c>
      <c r="C31" s="39" t="str">
        <v>YAGEO</v>
      </c>
      <c r="D31" s="39" t="str">
        <v>RC0805FR-072ML</v>
      </c>
      <c r="E31" s="39" t="str">
        <v>DigiKey</v>
      </c>
      <c r="F31" s="53" t="str">
        <v>Supplier Link</v>
      </c>
      <c r="G31" s="56" t="n">
        <v>1</v>
      </c>
      <c r="H31" s="56" t="n">
        <v>100</v>
      </c>
      <c r="I31" s="57" t="n">
        <v>0.0181</v>
      </c>
      <c r="J31" s="58" t="n">
        <f>IF(ISNUMBER(I31),G31*I31,"n.a.")</f>
        <v>0.0181</v>
      </c>
      <c r="K31" s="58" t="n">
        <f>IF(ISNUMBER(I31),H31*I31,"n.a.")</f>
        <v>1.81</v>
      </c>
      <c r="L31" s="39" t="str">
        <v>30,352 in stock. Same-pad YAGEO replacement: same resistance; 0805, 1%, 125 mW, 150 V, -55 to +155 C. Power derates above 70 C. TCR +/-100 ppm/C.</v>
      </c>
      <c r="M31" s="39" t="str">
        <v>UNI-ROYAL 0805W8F2004T5E</v>
      </c>
    </row>
    <row r="32" ht="48" customHeight="1">
      <c r="A32" s="39" t="str">
        <v>R4</v>
      </c>
      <c r="B32" s="39" t="str">
        <v>22 kΩ 0805 resistor</v>
      </c>
      <c r="C32" s="39" t="str">
        <v>YAGEO</v>
      </c>
      <c r="D32" s="39" t="str">
        <v>RC0805FR-0722KL</v>
      </c>
      <c r="E32" s="39" t="str">
        <v>DigiKey</v>
      </c>
      <c r="F32" s="53" t="str">
        <v>Supplier Link</v>
      </c>
      <c r="G32" s="56" t="n">
        <v>1</v>
      </c>
      <c r="H32" s="56" t="n">
        <v>100</v>
      </c>
      <c r="I32" s="57" t="n">
        <v>0.0171</v>
      </c>
      <c r="J32" s="58" t="n">
        <f>IF(ISNUMBER(I32),G32*I32,"n.a.")</f>
        <v>0.0171</v>
      </c>
      <c r="K32" s="58" t="n">
        <f>IF(ISNUMBER(I32),H32*I32,"n.a.")</f>
        <v>1.71</v>
      </c>
      <c r="L32" s="39" t="str">
        <v>210,688 in stock. Same-pad YAGEO replacement: same resistance; 0805, 1%, 125 mW, 150 V, -55 to +155 C. Power derates above 70 C. TCR +/-100 ppm/C.</v>
      </c>
      <c r="M32" s="39" t="str">
        <v>UNI-ROYAL 0805W8F2202T5E</v>
      </c>
    </row>
    <row r="33" ht="48" customHeight="1">
      <c r="A33" s="39" t="str">
        <v>R5</v>
      </c>
      <c r="B33" s="39" t="str">
        <v>5 mΩ 4-terminal Kelvin shunt</v>
      </c>
      <c r="C33" s="39" t="str">
        <v>Ohmite</v>
      </c>
      <c r="D33" s="39" t="str">
        <v>FC4L64R005FER</v>
      </c>
      <c r="E33" s="39" t="str">
        <v>DigiKey</v>
      </c>
      <c r="F33" s="53" t="str">
        <v>Supplier Link</v>
      </c>
      <c r="G33" s="56" t="n">
        <v>1</v>
      </c>
      <c r="H33" s="56" t="n">
        <v>14</v>
      </c>
      <c r="I33" s="57" t="n">
        <v>1.712</v>
      </c>
      <c r="J33" s="58" t="n">
        <f>IF(ISNUMBER(I33),G33*I33,"n.a.")</f>
        <v>1.712</v>
      </c>
      <c r="K33" s="58" t="n">
        <f>IF(ISNUMBER(I33),H33*I33,"n.a.")</f>
        <v>23.968</v>
      </c>
      <c r="L33" s="39" t="str">
        <v>3,246 in stock. Exact 5 mohm, four-terminal Kelvin shunt retained; no calibration change.</v>
      </c>
      <c r="M33" s="39" t="str"/>
    </row>
    <row r="34" ht="48" customHeight="1">
      <c r="A34" s="39" t="str">
        <v>R6</v>
      </c>
      <c r="B34" s="39" t="str">
        <v>680 kΩ 0805 resistor</v>
      </c>
      <c r="C34" s="39" t="str">
        <v>YAGEO</v>
      </c>
      <c r="D34" s="39" t="str">
        <v>RC0805FR-07680KL</v>
      </c>
      <c r="E34" s="39" t="str">
        <v>DigiKey</v>
      </c>
      <c r="F34" s="53" t="str">
        <v>Supplier Link</v>
      </c>
      <c r="G34" s="56" t="n">
        <v>1</v>
      </c>
      <c r="H34" s="56" t="n">
        <v>100</v>
      </c>
      <c r="I34" s="57" t="n">
        <v>0.0181</v>
      </c>
      <c r="J34" s="58" t="n">
        <f>IF(ISNUMBER(I34),G34*I34,"n.a.")</f>
        <v>0.0181</v>
      </c>
      <c r="K34" s="58" t="n">
        <f>IF(ISNUMBER(I34),H34*I34,"n.a.")</f>
        <v>1.81</v>
      </c>
      <c r="L34" s="39" t="str">
        <v>24,982 in stock. Same-pad YAGEO replacement: same resistance; 0805, 1%, 125 mW, 150 V, -55 to +155 C. Power derates above 70 C. TCR +/-100 ppm/C.</v>
      </c>
      <c r="M34" s="39" t="str">
        <v>UNI-ROYAL 0805W8F6803T5E</v>
      </c>
    </row>
    <row r="35" ht="48" customHeight="1">
      <c r="A35" s="39" t="str">
        <v>R8,R9</v>
      </c>
      <c r="B35" s="39" t="str">
        <v>10 Ω 0805 resistor</v>
      </c>
      <c r="C35" s="39" t="str">
        <v>YAGEO</v>
      </c>
      <c r="D35" s="39" t="str">
        <v>RC0805FR-0710RL</v>
      </c>
      <c r="E35" s="39" t="str">
        <v>DigiKey</v>
      </c>
      <c r="F35" s="53" t="str">
        <v>Supplier Link</v>
      </c>
      <c r="G35" s="56" t="n">
        <v>2</v>
      </c>
      <c r="H35" s="56" t="n">
        <v>100</v>
      </c>
      <c r="I35" s="57" t="n">
        <v>0.029</v>
      </c>
      <c r="J35" s="58" t="n">
        <f>IF(ISNUMBER(I35),G35*I35,"n.a.")</f>
        <v>0.058</v>
      </c>
      <c r="K35" s="58" t="n">
        <f>IF(ISNUMBER(I35),H35*I35,"n.a.")</f>
        <v>2.9000000000000004</v>
      </c>
      <c r="L35" s="39" t="str">
        <v>670,889 in stock. Same-pad YAGEO replacement: same resistance; 0805, 1%, 125 mW, 150 V, -55 to +155 C. Power derates above 70 C. TCR +/-200 ppm/C.</v>
      </c>
      <c r="M35" s="39" t="str">
        <v>UNI-ROYAL 0805W8F100JT5E</v>
      </c>
    </row>
    <row r="36" ht="48" customHeight="1">
      <c r="A36" s="39" t="str">
        <v>U1</v>
      </c>
      <c r="B36" s="39" t="str">
        <v>LTC4368 -1 H-grade protection IC (non-W alternative)</v>
      </c>
      <c r="C36" s="39" t="str">
        <v>Analog Devices</v>
      </c>
      <c r="D36" s="39" t="str">
        <v>LTC4368HMS-1#PBF</v>
      </c>
      <c r="E36" s="39" t="str">
        <v>DigiKey</v>
      </c>
      <c r="F36" s="53" t="str">
        <v>Supplier Link</v>
      </c>
      <c r="G36" s="56" t="n">
        <v>1</v>
      </c>
      <c r="H36" s="56" t="n">
        <v>14</v>
      </c>
      <c r="I36" s="57" t="n">
        <v>7.933</v>
      </c>
      <c r="J36" s="58" t="n">
        <f>IF(ISNUMBER(I36),G36*I36,"n.a.")</f>
        <v>7.933</v>
      </c>
      <c r="K36" s="58" t="n">
        <f>IF(ISNUMBER(I36),H36*I36,"n.a.")</f>
        <v>111.062</v>
      </c>
      <c r="L36" s="39" t="str">
        <v>658 in stock. Existing sheet substitution: H-grade LTC4368-1 in same MSOP-10; non-W ordering option replaces W automotive option. Same nominal function/pinout; automotive qualification/traceability equivalence is not claimed.</v>
      </c>
      <c r="M36" s="39" t="str">
        <v>Analog Devices LTC4368HMS-1#WTRPBF</v>
      </c>
    </row>
    <row r="37" ht="48" customHeight="1">
      <c r="A37" s="39" t="str">
        <v>U3</v>
      </c>
      <c r="B37" s="39" t="str">
        <v>LT3010 adjustable LDO</v>
      </c>
      <c r="C37" s="39" t="str">
        <v>Analog Devices</v>
      </c>
      <c r="D37" s="39" t="str">
        <v>LT3010EMS8E#TRPBF</v>
      </c>
      <c r="E37" s="39" t="str">
        <v>DigiKey</v>
      </c>
      <c r="F37" s="53" t="str">
        <v>Supplier Link</v>
      </c>
      <c r="G37" s="56" t="n">
        <v>1</v>
      </c>
      <c r="H37" s="56" t="n">
        <v>14</v>
      </c>
      <c r="I37" s="57" t="n">
        <v>4.955</v>
      </c>
      <c r="J37" s="58" t="n">
        <f>IF(ISNUMBER(I37),G37*I37,"n.a.")</f>
        <v>4.955</v>
      </c>
      <c r="K37" s="58" t="n">
        <f>IF(ISNUMBER(I37),H37*I37,"n.a.")</f>
        <v>69.37</v>
      </c>
      <c r="L37" s="39" t="str">
        <v>19,010 in stock. Exact adjustable regulator retained; do not order the fixed 5 V version.</v>
      </c>
      <c r="M37" s="39" t="str"/>
    </row>
    <row r="38" ht="48" customHeight="1">
      <c r="A38" s="39" t="str">
        <v>U4</v>
      </c>
      <c r="B38" s="39" t="str">
        <v>74AUP1G07 single-gate buffer</v>
      </c>
      <c r="C38" s="39" t="str">
        <v>Nexperia</v>
      </c>
      <c r="D38" s="39" t="str">
        <v>74AUP1G07GW,125</v>
      </c>
      <c r="E38" s="39" t="str">
        <v>DigiKey</v>
      </c>
      <c r="F38" s="53" t="str">
        <v>Supplier Link</v>
      </c>
      <c r="G38" s="56" t="n">
        <v>1</v>
      </c>
      <c r="H38" s="56" t="n">
        <v>14</v>
      </c>
      <c r="I38" s="57" t="n">
        <v>0.129</v>
      </c>
      <c r="J38" s="58" t="n">
        <f>IF(ISNUMBER(I38),G38*I38,"n.a.")</f>
        <v>0.129</v>
      </c>
      <c r="K38" s="58" t="n">
        <f>IF(ISNUMBER(I38),H38*I38,"n.a.")</f>
        <v>1.806</v>
      </c>
      <c r="L38" s="39" t="str">
        <v>10,026 in stock. Exact SOT353 open-drain buffer retained.</v>
      </c>
      <c r="M38" s="39" t="str"/>
    </row>
    <row r="39" ht="48" customHeight="1">
      <c r="A39" s="39" t="str">
        <v>U5</v>
      </c>
      <c r="B39" s="39" t="str">
        <v>LTC4359 ideal diode controller</v>
      </c>
      <c r="C39" s="39" t="str">
        <v>Analog Devices</v>
      </c>
      <c r="D39" s="39" t="str">
        <v>LTC4359IMS8#TRPBF</v>
      </c>
      <c r="E39" s="39" t="str">
        <v>DigiKey</v>
      </c>
      <c r="F39" s="53" t="str">
        <v>Supplier Link</v>
      </c>
      <c r="G39" s="56" t="n">
        <v>1</v>
      </c>
      <c r="H39" s="56" t="n">
        <v>14</v>
      </c>
      <c r="I39" s="57" t="n">
        <v>7.402</v>
      </c>
      <c r="J39" s="58" t="n">
        <f>IF(ISNUMBER(I39),G39*I39,"n.a.")</f>
        <v>7.402</v>
      </c>
      <c r="K39" s="58" t="n">
        <f>IF(ISNUMBER(I39),H39*I39,"n.a.")</f>
        <v>103.628</v>
      </c>
      <c r="L39" s="39" t="str">
        <v>5,718 in stock. Exact controller retained.</v>
      </c>
      <c r="M39" s="39" t="str"/>
    </row>
    <row r="40" ht="48" customHeight="1">
      <c r="A40" s="39" t="str">
        <v>C2,C18</v>
      </c>
      <c r="B40" s="39" t="str">
        <v>1 µF 50 V X7R MLCC 0805</v>
      </c>
      <c r="C40" s="39" t="str">
        <v>YAGEO</v>
      </c>
      <c r="D40" s="39" t="str">
        <v>CC0805KKX7R9BB105</v>
      </c>
      <c r="E40" s="39" t="str">
        <v>Mouser</v>
      </c>
      <c r="F40" s="53" t="str">
        <v>Supplier Link</v>
      </c>
      <c r="G40" s="56" t="n">
        <v>2</v>
      </c>
      <c r="H40" s="56" t="n">
        <v>100</v>
      </c>
      <c r="I40" s="57" t="n">
        <v>0.118</v>
      </c>
      <c r="J40" s="58" t="n">
        <f>IF(ISNUMBER(I40),G40*I40,"n.a.")</f>
        <v>0.236</v>
      </c>
      <c r="K40" s="58" t="n">
        <f>IF(ISNUMBER(I40),H40*I40,"n.a.")</f>
        <v>11.799999999999999</v>
      </c>
      <c r="L40" s="39" t="str">
        <v>623,292 in stock. Exact original part. US/USD price and inventory verified in Chrome. Qty 100 retained.</v>
      </c>
      <c r="M40" s="39" t="str"/>
    </row>
    <row r="41" ht="48" customHeight="1">
      <c r="A41" s="39" t="str">
        <v>R21</v>
      </c>
      <c r="B41" s="39" t="str">
        <v>100 Ω 0805 resistor</v>
      </c>
      <c r="C41" s="39" t="str">
        <v>YAGEO</v>
      </c>
      <c r="D41" s="39" t="str">
        <v>AC0805FR-07100RL</v>
      </c>
      <c r="E41" s="39" t="str">
        <v>Mouser</v>
      </c>
      <c r="F41" s="53" t="str">
        <v>Supplier Link</v>
      </c>
      <c r="G41" s="56" t="n">
        <v>1</v>
      </c>
      <c r="H41" s="56" t="n">
        <v>100</v>
      </c>
      <c r="I41" s="57" t="n">
        <v>0.014</v>
      </c>
      <c r="J41" s="58" t="n">
        <f>IF(ISNUMBER(I41),G41*I41,"n.a.")</f>
        <v>0.014</v>
      </c>
      <c r="K41" s="58" t="n">
        <f>IF(ISNUMBER(I41),H41*I41,"n.a.")</f>
        <v>1.4000000000000001</v>
      </c>
      <c r="L41" s="39" t="str">
        <v>52,757 in stock. Existing sheet substitution from UNI-ROYAL: 100 ohm, 1%, 125 mW, 150 V, 0805; -55 to +155 C. Original CAD MPN now recorded.</v>
      </c>
      <c r="M41" s="39" t="str">
        <v>UNI-ROYAL 0805W8F1000T5E</v>
      </c>
    </row>
    <row r="42" ht="48" customHeight="1">
      <c r="A42" s="39" t="str">
        <v>R7</v>
      </c>
      <c r="B42" s="39" t="str">
        <v>200 kΩ 0805 resistor</v>
      </c>
      <c r="C42" s="39" t="str">
        <v>YAGEO</v>
      </c>
      <c r="D42" s="39" t="str">
        <v>AC0805FR-07200KL</v>
      </c>
      <c r="E42" s="39" t="str">
        <v>Mouser</v>
      </c>
      <c r="F42" s="53" t="str">
        <v>Supplier Link</v>
      </c>
      <c r="G42" s="56" t="n">
        <v>1</v>
      </c>
      <c r="H42" s="56" t="n">
        <v>100</v>
      </c>
      <c r="I42" s="57" t="n">
        <v>0.013</v>
      </c>
      <c r="J42" s="58" t="n">
        <f>IF(ISNUMBER(I42),G42*I42,"n.a.")</f>
        <v>0.013</v>
      </c>
      <c r="K42" s="58" t="n">
        <f>IF(ISNUMBER(I42),H42*I42,"n.a.")</f>
        <v>1.3</v>
      </c>
      <c r="L42" s="39" t="str">
        <v>31,867 in stock. Existing sheet substitution from UNI-ROYAL: 200 kohm, 1%, 125 mW, 150 V, 0805; -55 to +155 C. Original CAD MPN now recorded.</v>
      </c>
      <c r="M42" s="39" t="str">
        <v>UNI-ROYAL 0805W8F2003T5E</v>
      </c>
    </row>
    <row r="43" ht="48" customHeight="1">
      <c r="A43" s="39" t="str">
        <v>U2</v>
      </c>
      <c r="B43" s="39" t="str">
        <v>INA238 power monitor VSSOP-10</v>
      </c>
      <c r="C43" s="39" t="str">
        <v>Texas Instruments</v>
      </c>
      <c r="D43" s="39" t="str">
        <v>INA238AQDGSRQ1</v>
      </c>
      <c r="E43" s="39" t="str">
        <v>Mouser</v>
      </c>
      <c r="F43" s="53" t="str">
        <v>Supplier Link</v>
      </c>
      <c r="G43" s="56" t="n">
        <v>1</v>
      </c>
      <c r="H43" s="56" t="n">
        <v>14</v>
      </c>
      <c r="I43" s="57" t="n">
        <v>3.31</v>
      </c>
      <c r="J43" s="58" t="n">
        <f>IF(ISNUMBER(I43),G43*I43,"n.a.")</f>
        <v>3.31</v>
      </c>
      <c r="K43" s="58" t="n">
        <f>IF(ISNUMBER(I43),H43*I43,"n.a.")</f>
        <v>46.34</v>
      </c>
      <c r="L43" s="39" t="str">
        <v>61 in stock. Recommended replacement: automotive INA238-Q1, same DGS-10 pinout/register architecture. Existing driver accepts device ID; verify hardware bring-up.</v>
      </c>
      <c r="M43" s="39" t="str">
        <v>Texas Instruments INA238AIDGSR</v>
      </c>
    </row>
    <row r="44" ht="48" customHeight="1">
      <c r="A44" s="39" t="str">
        <v>J2</v>
      </c>
      <c r="B44" s="39" t="str">
        <v>4-pin JST GH SMT header</v>
      </c>
      <c r="C44" s="39" t="str">
        <v>JST</v>
      </c>
      <c r="D44" s="39" t="str">
        <v>BM04B-GHS-TBT(LF)(SN)</v>
      </c>
      <c r="E44" s="39" t="str">
        <v>Newark</v>
      </c>
      <c r="F44" s="53" t="str">
        <v>Supplier Link</v>
      </c>
      <c r="G44" s="56" t="n">
        <v>1</v>
      </c>
      <c r="H44" s="56" t="n">
        <v>14</v>
      </c>
      <c r="I44" s="57" t="n">
        <v>0.586</v>
      </c>
      <c r="J44" s="58" t="n">
        <f>IF(ISNUMBER(I44),G44*I44,"n.a.")</f>
        <v>0.586</v>
      </c>
      <c r="K44" s="58" t="n">
        <f>IF(ISNUMBER(I44),H44*I44,"n.a.")</f>
        <v>8.203999999999999</v>
      </c>
      <c r="L44" s="39" t="str">
        <v>269,450 in stock. Exact JST GH four-pin top-entry header. Newark 73M9202, cut tape, MOQ/multiple 1. UK inventory; advertised US delivery 4-6 business days. Qty 14 uses 10-piece price. Do not select a side-entry variant.</v>
      </c>
      <c r="M44" s="39" t="str"/>
    </row>
    <row r="45" ht="78" customHeight="1">
      <c r="A45" s="39" t="str">
        <v>C4,C9</v>
      </c>
      <c r="B45" s="39" t="str">
        <v>10 uF 50 V X5R MLCC 1206 (85 C limit)</v>
      </c>
      <c r="C45" s="39" t="str">
        <v>TDK</v>
      </c>
      <c r="D45" s="39" t="str">
        <v>C3216X5R1H106K160AB</v>
      </c>
      <c r="E45" s="39" t="str">
        <v>Mouser</v>
      </c>
      <c r="F45" s="53" t="str">
        <v>Supplier Link</v>
      </c>
      <c r="G45" s="56" t="n">
        <v>2</v>
      </c>
      <c r="H45" s="56" t="n">
        <v>28</v>
      </c>
      <c r="I45" s="57" t="n">
        <v>1.25</v>
      </c>
      <c r="J45" s="58" t="n">
        <f>IF(ISNUMBER(I45),G45*I45,"n.a.")</f>
        <v>2.5</v>
      </c>
      <c r="K45" s="58" t="n">
        <f>IF(ISNUMBER(I45),H45*I45,"n.a.")</f>
        <v>35</v>
      </c>
      <c r="L45" s="62" t="str">
        <v>556 in stock. CONDITIONAL 85 C: stocked TDK replacement; same 1206 / 10 uF / 50 V / +/-10%. X5R replaces X7R, reducing upper temperature rating from 125 C to 85 C. Confirm capacitor temperature including ripple heating stays below 85 C with margin; check bias/ripple before assembly. Qty 28; supplier MOQ/multiple 1.</v>
      </c>
      <c r="M45" s="39" t="str">
        <v>Samsung Electro-Mechanics CL31B106KBHNNNE</v>
      </c>
    </row>
    <row r="46" ht="78" customHeight="1">
      <c r="A46" s="39" t="str">
        <v>C6</v>
      </c>
      <c r="B46" s="39" t="str">
        <v>10 uF 25 V X5R MLCC 0805 (85 C limit)</v>
      </c>
      <c r="C46" s="39" t="str">
        <v>TDK</v>
      </c>
      <c r="D46" s="39" t="str">
        <v>C2012X5R1E106K085AC</v>
      </c>
      <c r="E46" s="39" t="str">
        <v>Mouser</v>
      </c>
      <c r="F46" s="53" t="str">
        <v>Supplier Link</v>
      </c>
      <c r="G46" s="56" t="n">
        <v>1</v>
      </c>
      <c r="H46" s="56" t="n">
        <v>14</v>
      </c>
      <c r="I46" s="57" t="n">
        <v>0.683</v>
      </c>
      <c r="J46" s="58" t="n">
        <f>IF(ISNUMBER(I46),G46*I46,"n.a.")</f>
        <v>0.683</v>
      </c>
      <c r="K46" s="58" t="n">
        <f>IF(ISNUMBER(I46),H46*I46,"n.a.")</f>
        <v>9.562000000000001</v>
      </c>
      <c r="L46" s="62" t="str">
        <v>1,112 in stock. CONDITIONAL 85 C: TDK replacement, same 0805 / 10 uF / 25 V / +/-10%; thinner 0.85 mm nominal body. X5R upper limit 85 C instead of 125 C. Confirm effective capacitance &gt;=1 uF and ESR &lt;=3 ohms on the 3.3 V LT3010 output, and check startup/stability. X7R Murata backup is available to backorder at Newark; see plan.</v>
      </c>
      <c r="M46" s="39" t="str">
        <v>Samsung Electro-Mechanics CL21B106KAYQNNE</v>
      </c>
    </row>
    <row r="47" ht="78" customHeight="1">
      <c r="A47" s="39" t="str">
        <v>J1,J3,J4</v>
      </c>
      <c r="B47" s="39" t="str">
        <v>XT60PW-F board connector</v>
      </c>
      <c r="C47" s="39" t="str">
        <v>AMASS</v>
      </c>
      <c r="D47" s="39" t="str">
        <v>XT60PW-F</v>
      </c>
      <c r="E47" s="39" t="str">
        <v>User supplied</v>
      </c>
      <c r="F47" s="53" t="str">
        <v>User supplied</v>
      </c>
      <c r="G47" s="56" t="n">
        <v>3</v>
      </c>
      <c r="H47" s="56" t="n">
        <v>0</v>
      </c>
      <c r="I47" s="57"/>
      <c r="J47" s="58" t="str">
        <f>IF(ISNUMBER(I47),G47*I47,"n.a.")</f>
        <v>n.a.</v>
      </c>
      <c r="K47" s="58" t="str">
        <f>IF(ISNUMBER(I47),H47*I47,"n.a.")</f>
        <v>n.a.</v>
      </c>
      <c r="L47" s="39" t="str">
        <v>USER SUPPLIED. USER HANDLED: user has some XT60 connectors and will handle any additional sourcing. Excluded from school order and totals. Previous plan needed 42 including spares; available on-hand quantity is unconfirmed. Qty/board remains 3. Zero order quantity means no school purchase assigned, not zero connectors needed.</v>
      </c>
      <c r="M47" s="39" t="str"/>
    </row>
    <row r="49" ht="27" customHeight="1">
      <c r="A49" s="34" t="str">
        <v>Replacement decisions and remaining sourcing plan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</row>
    <row r="50" ht="24" customHeight="1">
      <c r="A50" s="35" t="str">
        <v>Selected routes are counted once above; backup options and user-supplied XT60s excluded. No China-based suppliers. Conditional 85 C choices are flagged.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ht="36" customHeight="1">
      <c r="A51" s="50" t="str">
        <v>Reference</v>
      </c>
      <c r="B51" s="50" t="str">
        <v>Candidate / Route</v>
      </c>
      <c r="C51" s="50" t="str">
        <v>Manufacturer</v>
      </c>
      <c r="D51" s="50" t="str">
        <v>Candidate Part Number</v>
      </c>
      <c r="E51" s="50" t="str">
        <v>Supplier</v>
      </c>
      <c r="F51" s="50" t="str">
        <v>Candidate Link</v>
      </c>
      <c r="G51" s="50" t="str">
        <v>Stock</v>
      </c>
      <c r="H51" s="50" t="str">
        <v>Plan Qty</v>
      </c>
      <c r="I51" s="50" t="str">
        <v>Unit Price (USD)</v>
      </c>
      <c r="J51" s="50" t="str">
        <v>Footprint</v>
      </c>
      <c r="K51" s="50" t="str">
        <v>Electrical Match</v>
      </c>
      <c r="L51" s="50" t="str">
        <v>Proposed Solution / Next Step</v>
      </c>
      <c r="M51" s="50" t="str">
        <v>Decision</v>
      </c>
    </row>
    <row r="52" ht="108" customHeight="1">
      <c r="A52" s="39" t="str">
        <v>C11-C16</v>
      </c>
      <c r="B52" s="39" t="str">
        <v>Same-body TDK film; tolerance relaxed</v>
      </c>
      <c r="C52" s="39" t="str">
        <v>TDK</v>
      </c>
      <c r="D52" s="39" t="str">
        <v>B32529C0105K000</v>
      </c>
      <c r="E52" s="39" t="str">
        <v>DigiKey</v>
      </c>
      <c r="F52" s="53" t="str">
        <v>Candidate Link</v>
      </c>
      <c r="G52" s="63" t="n">
        <v>4879</v>
      </c>
      <c r="H52" s="63" t="n">
        <v>84</v>
      </c>
      <c r="I52" s="64" t="n">
        <v>0.3634</v>
      </c>
      <c r="J52" s="39" t="str">
        <v>7.3 x 4.5 x 9.5 mm; 5 mm pitch</v>
      </c>
      <c r="K52" s="39" t="str">
        <v>1 uF, 63 V PET; +/-10% vs +/-5%</v>
      </c>
      <c r="L52" s="39" t="str">
        <v>Recommended sourcing replacement, entered in the main list. Same TDK family, body, pitch and -55 to +125 C range. Only capacitance tolerance changes: each part 0.9-1.1 uF; six in parallel 5.4-6.6 uF before temperature/aging. User allowed tolerance changes. Bulk packaging; trim leads for assembly. Qty 84 uses the 50-piece USD price break.</v>
      </c>
      <c r="M52" s="39" t="str">
        <v>Selected; tolerance change disclosed</v>
      </c>
    </row>
    <row r="53" ht="108" customHeight="1">
      <c r="A53" s="39" t="str">
        <v>C4,C9</v>
      </c>
      <c r="B53" s="39" t="str">
        <v>Stocked TDK X5R; 85 C condition</v>
      </c>
      <c r="C53" s="39" t="str">
        <v>TDK</v>
      </c>
      <c r="D53" s="39" t="str">
        <v>C3216X5R1H106K160AB</v>
      </c>
      <c r="E53" s="39" t="str">
        <v>Mouser</v>
      </c>
      <c r="F53" s="53" t="str">
        <v>Candidate Link</v>
      </c>
      <c r="G53" s="63" t="n">
        <v>556</v>
      </c>
      <c r="H53" s="63" t="n">
        <v>28</v>
      </c>
      <c r="I53" s="64" t="n">
        <v>1.25</v>
      </c>
      <c r="J53" s="39" t="str">
        <v>1206; 3.2 x 1.6 x 1.6 mm nominal</v>
      </c>
      <c r="K53" s="39" t="str">
        <v>10 uF, 50 V, +/-10%; X5R vs X7R</v>
      </c>
      <c r="L53" s="39" t="str">
        <v>Chosen school-order candidate from Mouser. Same board footprint and nominal C/V/tolerance; X5R upper temperature limit is 85 C. Before assembly, confirm actual capacitor temperature including ripple heating remains below 85 C with margin, and check DC-bias capacitance/rail ripple. This thermal condition is unresolved without operating measurements. If the board requires 125 C, retain an X7R part and use a distributor backorder rather than this substitution. No China-based supplier is included.</v>
      </c>
      <c r="M53" s="39" t="str">
        <v>Stocked; thermal/bias check required</v>
      </c>
    </row>
    <row r="54" ht="108" customHeight="1">
      <c r="A54" s="39" t="str">
        <v>C6</v>
      </c>
      <c r="B54" s="39" t="str">
        <v>Stocked TDK X5R; 85 C condition</v>
      </c>
      <c r="C54" s="39" t="str">
        <v>TDK</v>
      </c>
      <c r="D54" s="39" t="str">
        <v>C2012X5R1E106K085AC</v>
      </c>
      <c r="E54" s="39" t="str">
        <v>Mouser</v>
      </c>
      <c r="F54" s="53" t="str">
        <v>Candidate Link</v>
      </c>
      <c r="G54" s="63" t="n">
        <v>1112</v>
      </c>
      <c r="H54" s="63" t="n">
        <v>14</v>
      </c>
      <c r="I54" s="64" t="n">
        <v>0.683</v>
      </c>
      <c r="J54" s="39" t="str">
        <v>0805; 2.0 x 1.25 x 0.85 mm nominal</v>
      </c>
      <c r="K54" s="39" t="str">
        <v>10 uF, 25 V, +/-10%; X5R vs X7R</v>
      </c>
      <c r="L54" s="39" t="str">
        <v>Chosen stocked candidate: 14 from Mouser, USD 0.683 each. Same pads and nominal C/V/tolerance; body is thinner. Upper temperature rating reduces to 85 C, so confirm component temperature with margin. For the LT3010 output, verify effective C &gt;=1 uF and ESR &lt;=3 ohms over bias/temperature and check startup/stability. If 125 C is required, Newark 46AM9097 lists Murata GRM21BZ71E106KE15L as backorder, estimated deliveries from November 21, 2026, USD 0.341 each at quantity 14. Backup link is below; do not buy both routes.</v>
      </c>
      <c r="M54" s="39" t="str">
        <v>Stocked; thermal/stability check</v>
      </c>
    </row>
    <row r="55" ht="108" customHeight="1">
      <c r="A55" s="39" t="str">
        <v>U2</v>
      </c>
      <c r="B55" s="39" t="str">
        <v>Automotive INA238; preserve INA238 architecture</v>
      </c>
      <c r="C55" s="39" t="str">
        <v>Texas Instruments</v>
      </c>
      <c r="D55" s="39" t="str">
        <v>INA238AQDGSRQ1</v>
      </c>
      <c r="E55" s="39" t="str">
        <v>Mouser</v>
      </c>
      <c r="F55" s="53" t="str">
        <v>Candidate Link</v>
      </c>
      <c r="G55" s="63" t="n">
        <v>61</v>
      </c>
      <c r="H55" s="63" t="n">
        <v>14</v>
      </c>
      <c r="I55" s="64" t="n">
        <v>3.31</v>
      </c>
      <c r="J55" s="39" t="str">
        <v>DGS VSSOP-10; same pinout</v>
      </c>
      <c r="K55" s="39" t="str">
        <v>85 V, 16 bit; same calibration</v>
      </c>
      <c r="L55" s="39" t="str">
        <v>Recommended sourcing replacement, entered in the main list: 14 Q1 parts. Same TI INA238 architecture and DGS VSSOP-10 pinout; 85 V monitor, 2.7-5.5 V supply, addressing and calibration factor match. Q1 DEVICE_ID 0x2381 is accepted by the existing driver mask. No firmware change indicated. Verify initialization/readback and current scaling during normal board bring-up. Only 61 available now; future incoming shipment is estimated November 2027.</v>
      </c>
      <c r="M55" s="39" t="str">
        <v>Selected; same-pin INA238 variant</v>
      </c>
    </row>
    <row r="56" ht="108" customHeight="1">
      <c r="A56" s="39" t="str">
        <v>C2,C18</v>
      </c>
      <c r="B56" s="39" t="str">
        <v>Exact original part; USD issue resolved</v>
      </c>
      <c r="C56" s="39" t="str">
        <v>YAGEO</v>
      </c>
      <c r="D56" s="39" t="str">
        <v>CC0805KKX7R9BB105</v>
      </c>
      <c r="E56" s="39" t="str">
        <v>Mouser</v>
      </c>
      <c r="F56" s="53" t="str">
        <v>Candidate Link</v>
      </c>
      <c r="G56" s="63" t="n">
        <v>623292</v>
      </c>
      <c r="H56" s="63" t="n">
        <v>100</v>
      </c>
      <c r="I56" s="64" t="n">
        <v>0.118</v>
      </c>
      <c r="J56" s="39" t="str">
        <v>Exact existing part</v>
      </c>
      <c r="K56" s="39" t="str">
        <v>No component change</v>
      </c>
      <c r="L56" s="39" t="str">
        <v>Resolved in the main list. Exact original Yageo part, no substitution needed. US/USD product page confirms 623,292 in stock. Quantity 100 costs USD 0.118 each, USD 11.80 total before tax/shipping/tariff. Original order quantity 100 retained.</v>
      </c>
      <c r="M56" s="39" t="str">
        <v>Resolved; exact original retained</v>
      </c>
    </row>
    <row r="57" ht="108" customHeight="1">
      <c r="A57" s="39" t="str">
        <v>D1,D4</v>
      </c>
      <c r="B57" s="39" t="str">
        <v>24 V bidirectional 400 W TVS candidate</v>
      </c>
      <c r="C57" s="39" t="str">
        <v>Bourns</v>
      </c>
      <c r="D57" s="39" t="str">
        <v>SMAJ24CA</v>
      </c>
      <c r="E57" s="39" t="str">
        <v>DigiKey</v>
      </c>
      <c r="F57" s="53" t="str">
        <v>Candidate Link</v>
      </c>
      <c r="G57" s="63" t="n">
        <v>45740</v>
      </c>
      <c r="H57" s="63" t="n">
        <v>28</v>
      </c>
      <c r="I57" s="64" t="n">
        <v>0.382</v>
      </c>
      <c r="J57" s="39" t="str">
        <v>DO-214AC / SMA</v>
      </c>
      <c r="K57" s="39" t="str">
        <v>24 V; 38.9 V clamp at 10.3 A</v>
      </c>
      <c r="L57" s="39" t="str">
        <v>Recommended Bourns manufacturer substitution, entered in the main list. Same SMA / DO-214AC footprint and bidirectional operation. Nominal protection ratings match the original RUILON listing: 24 V stand-off, 26.7-29.5 V breakdown, 38.9 V clamp at 10.3 A, 400 W at 10/1000 us; Bourns specifies 1 uA maximum leakage and -55 to +150 C. Qty 28 uses USD 0.382 each. This preserves nominal clamp coordination; confirm actual surge performance and temperature in normal board qualification.</v>
      </c>
      <c r="M57" s="39" t="str">
        <v>Selected; nominal TVS match</v>
      </c>
    </row>
    <row r="58" ht="108" customHeight="1">
      <c r="A58" s="39" t="str">
        <v>J1,J3,J4</v>
      </c>
      <c r="B58" s="39" t="str">
        <v>User supplied; no school purchase</v>
      </c>
      <c r="C58" s="39" t="str">
        <v>AMASS</v>
      </c>
      <c r="D58" s="39" t="str">
        <v>XT60PW-F</v>
      </c>
      <c r="E58" s="39" t="str">
        <v>User supplied</v>
      </c>
      <c r="F58" s="53" t="str">
        <v>User handled</v>
      </c>
      <c r="G58" s="63" t="str">
        <v>User handled</v>
      </c>
      <c r="H58" s="63" t="n">
        <v>0</v>
      </c>
      <c r="I58" s="64"/>
      <c r="J58" s="39" t="str">
        <v>Existing XT60PW-F footprint</v>
      </c>
      <c r="K58" s="39" t="str">
        <v>Retain exact original connector</v>
      </c>
      <c r="L58" s="39" t="str">
        <v>User has some XT60 connectors and will handle any additional sourcing separately. No school supplier selected and no connector purchase cost included. Confirm that on-hand parts are exact XT60PW-F female right-angle PCB connectors, and count available pieces against the previous 42-piece plan (30 installed plus 12 spares). No purchase was made. Board footprint unchanged.</v>
      </c>
      <c r="M58" s="39" t="str">
        <v>User handled; on-hand count needed</v>
      </c>
    </row>
    <row r="59" ht="108" customHeight="1">
      <c r="A59" s="39" t="str">
        <v>J2</v>
      </c>
      <c r="B59" s="39" t="str">
        <v>Exact JST stocked at Newark</v>
      </c>
      <c r="C59" s="39" t="str">
        <v>JST</v>
      </c>
      <c r="D59" s="39" t="str">
        <v>BM04B-GHS-TBT(LF)(SN)</v>
      </c>
      <c r="E59" s="39" t="str">
        <v>Newark</v>
      </c>
      <c r="F59" s="53" t="str">
        <v>Candidate Link</v>
      </c>
      <c r="G59" s="63" t="n">
        <v>269450</v>
      </c>
      <c r="H59" s="63" t="n">
        <v>14</v>
      </c>
      <c r="I59" s="64" t="n">
        <v>0.586</v>
      </c>
      <c r="J59" s="39" t="str">
        <v>GH top-entry, 4 pins, 1.25 mm</v>
      </c>
      <c r="K59" s="39" t="str">
        <v>Exact original header</v>
      </c>
      <c r="L59" s="39" t="str">
        <v>RESOLVED: Newark 73M9202 has 269,450 reported in UK stock, advertises 4-6 business-day US delivery, and allows cut tape MOQ 1 / multiple 1. Buy 14 at USD 0.586 each. Exact original top-entry JST GH header; no harness or PCB change. Newark metadata incorrectly says four rows; the MPN and GH datasheet identify a single row of four contacts. Delivery remains subject to checkout confirmation.</v>
      </c>
      <c r="M59" s="39" t="str">
        <v>Resolved; exact Newark source</v>
      </c>
    </row>
    <row r="60">
      <c r="A60" s="26"/>
      <c r="B60" s="26"/>
      <c r="C60" s="26"/>
      <c r="D60" s="26"/>
      <c r="E60" s="26"/>
      <c r="F60" s="65"/>
      <c r="G60" s="26"/>
      <c r="H60" s="26"/>
      <c r="I60" s="26"/>
      <c r="J60" s="26"/>
      <c r="K60" s="26"/>
      <c r="L60" s="26"/>
      <c r="M60" s="26"/>
    </row>
    <row r="61" ht="23" customHeight="1">
      <c r="A61" s="26" t="str">
        <v>Technical sources and X7R backorder alternative</v>
      </c>
      <c r="B61" s="26"/>
      <c r="C61" s="26"/>
      <c r="D61" s="26"/>
      <c r="E61" s="26"/>
      <c r="F61" s="65"/>
      <c r="G61" s="26"/>
      <c r="H61" s="26"/>
      <c r="I61" s="26"/>
      <c r="J61" s="26"/>
      <c r="K61" s="26"/>
      <c r="L61" s="26"/>
      <c r="M61" s="26"/>
    </row>
    <row r="62" ht="23" customHeight="1">
      <c r="A62" s="26" t="str">
        <v>TI INA238-Q1: pinout, register map, device ID and calibration</v>
      </c>
      <c r="B62" s="26"/>
      <c r="C62" s="26"/>
      <c r="D62" s="26"/>
      <c r="E62" s="26"/>
      <c r="F62" s="65" t="str">
        <v>Datasheet</v>
      </c>
      <c r="G62" s="26"/>
      <c r="H62" s="26"/>
      <c r="I62" s="26"/>
      <c r="J62" s="26"/>
      <c r="K62" s="26"/>
      <c r="L62" s="26"/>
      <c r="M62" s="26"/>
    </row>
    <row r="63" ht="23" customHeight="1">
      <c r="A63" s="26" t="str">
        <v>DigiKey: explanation of the JST GH (N) ordering suffix</v>
      </c>
      <c r="B63" s="26"/>
      <c r="C63" s="26"/>
      <c r="D63" s="26"/>
      <c r="E63" s="26"/>
      <c r="F63" s="65" t="str">
        <v>Source Link</v>
      </c>
      <c r="G63" s="26"/>
      <c r="H63" s="26"/>
      <c r="I63" s="26"/>
      <c r="J63" s="26"/>
      <c r="K63" s="26"/>
      <c r="L63" s="26"/>
      <c r="M63" s="26"/>
    </row>
    <row r="64" ht="23" customHeight="1">
      <c r="A64" s="26" t="str">
        <v>TDK C6 product specifications and manufacturer document links</v>
      </c>
      <c r="B64" s="26"/>
      <c r="C64" s="26"/>
      <c r="D64" s="26"/>
      <c r="E64" s="26"/>
      <c r="F64" s="65" t="str">
        <v>Datasheet</v>
      </c>
      <c r="G64" s="26"/>
      <c r="H64" s="26"/>
      <c r="I64" s="26"/>
      <c r="J64" s="26"/>
      <c r="K64" s="26"/>
      <c r="L64" s="26"/>
      <c r="M64" s="26"/>
    </row>
    <row r="65" ht="23" customHeight="1">
      <c r="A65" s="26" t="str">
        <v>C6 125 C X7R backup: Murata at Newark; backorder estimated November 21</v>
      </c>
      <c r="B65" s="26"/>
      <c r="C65" s="26"/>
      <c r="D65" s="26"/>
      <c r="E65" s="26"/>
      <c r="F65" s="65" t="str">
        <v>Backup Link</v>
      </c>
      <c r="G65" s="26"/>
      <c r="H65" s="26"/>
      <c r="I65" s="26"/>
      <c r="J65" s="26"/>
      <c r="K65" s="26"/>
      <c r="L65" s="26"/>
      <c r="M65" s="26"/>
    </row>
    <row r="66" ht="23" customHeight="1">
      <c r="A66" s="26" t="str">
        <v>Running replacement tally: 20 MPN groups / 29 fitted positions; recommendations, not installed changes</v>
      </c>
      <c r="B66" s="26"/>
      <c r="C66" s="26"/>
      <c r="D66" s="26"/>
      <c r="E66" s="26"/>
      <c r="F66" s="65" t="str">
        <v>GitHub tally</v>
      </c>
      <c r="G66" s="26"/>
      <c r="H66" s="26"/>
      <c r="I66" s="26"/>
      <c r="J66" s="26"/>
      <c r="K66" s="26"/>
      <c r="L66" s="26"/>
      <c r="M66" s="26"/>
    </row>
  </sheetData>
  <mergeCells>
    <mergeCell ref="A1:M1"/>
    <mergeCell ref="A2:M2"/>
    <mergeCell ref="A4:M4"/>
    <mergeCell ref="A5:M5"/>
    <mergeCell ref="A6:M6"/>
    <mergeCell ref="A49:M49"/>
    <mergeCell ref="A50:M50"/>
    <mergeCell ref="A61:M61"/>
    <mergeCell ref="A62:E62"/>
    <mergeCell ref="A63:E63"/>
    <mergeCell ref="A64:E64"/>
    <mergeCell ref="A65:E65"/>
    <mergeCell ref="A66:E66"/>
  </mergeCells>
  <conditionalFormatting sqref="L8:L47">
    <cfRule type="containsText" dxfId="0" priority="1" operator="containsText" text="OUT OF STOCK"/>
  </conditionalFormatting>
  <conditionalFormatting sqref="I8:I47">
    <cfRule type="containsBlanks" dxfId="1" priority="2"/>
  </conditionalFormatting>
  <hyperlinks>
    <hyperlink ref="F8" r:id="checkedSupplier8" display="Supplier Link"/>
    <hyperlink ref="F9" r:id="checkedSupplier9" display="Supplier Link"/>
    <hyperlink ref="F10" r:id="checkedSupplier10" display="Supplier Link"/>
    <hyperlink ref="F11" r:id="checkedSupplier11" display="Supplier Link"/>
    <hyperlink ref="F12" r:id="checkedSupplier12" display="Supplier Link"/>
    <hyperlink ref="F13" r:id="checkedSupplier13" display="Supplier Link"/>
    <hyperlink ref="F14" r:id="checkedSupplier14" display="Supplier Link"/>
    <hyperlink ref="F15" r:id="checkedSupplier15" display="Supplier Link"/>
    <hyperlink ref="F16" r:id="checkedSupplier16" display="Supplier Link"/>
    <hyperlink ref="F17" r:id="checkedSupplier17" display="Supplier Link"/>
    <hyperlink ref="F18" r:id="checkedSupplier18" display="Supplier Link"/>
    <hyperlink ref="F19" r:id="checkedSupplier19" display="Supplier Link"/>
    <hyperlink ref="F20" r:id="checkedSupplier20" display="Supplier Link"/>
    <hyperlink ref="F21" r:id="checkedSupplier21" display="Supplier Link"/>
    <hyperlink ref="F22" r:id="checkedSupplier22" display="Supplier Link"/>
    <hyperlink ref="F23" r:id="checkedSupplier23" display="Supplier Link"/>
    <hyperlink ref="F24" r:id="checkedSupplier24" display="Supplier Link"/>
    <hyperlink ref="F25" r:id="checkedSupplier25" display="Supplier Link"/>
    <hyperlink ref="F26" r:id="checkedSupplier26" display="Supplier Link"/>
    <hyperlink ref="F27" r:id="checkedSupplier27" display="Supplier Link"/>
    <hyperlink ref="F28" r:id="checkedSupplier28" display="Supplier Link"/>
    <hyperlink ref="F29" r:id="checkedSupplier29" display="Supplier Link"/>
    <hyperlink ref="F30" r:id="checkedSupplier30" display="Supplier Link"/>
    <hyperlink ref="F31" r:id="checkedSupplier31" display="Supplier Link"/>
    <hyperlink ref="F32" r:id="checkedSupplier32" display="Supplier Link"/>
    <hyperlink ref="F33" r:id="checkedSupplier33" display="Supplier Link"/>
    <hyperlink ref="F34" r:id="checkedSupplier34" display="Supplier Link"/>
    <hyperlink ref="F35" r:id="checkedSupplier35" display="Supplier Link"/>
    <hyperlink ref="F36" r:id="checkedSupplier36" display="Supplier Link"/>
    <hyperlink ref="F37" r:id="checkedSupplier37" display="Supplier Link"/>
    <hyperlink ref="F38" r:id="checkedSupplier38" display="Supplier Link"/>
    <hyperlink ref="F39" r:id="checkedSupplier39" display="Supplier Link"/>
    <hyperlink ref="F40" r:id="checkedSupplier40" display="Supplier Link"/>
    <hyperlink ref="F41" r:id="checkedSupplier41" display="Supplier Link"/>
    <hyperlink ref="F42" r:id="checkedSupplier42" display="Supplier Link"/>
    <hyperlink ref="F43" r:id="checkedSupplier43" display="Supplier Link"/>
    <hyperlink ref="F44" r:id="checkedSupplier44" display="Supplier Link"/>
    <hyperlink ref="F45" r:id="checkedSupplier45" display="Supplier Link"/>
    <hyperlink ref="F46" r:id="checkedSupplier46" display="Supplier Link"/>
    <hyperlink ref="F52" r:id="candidateSupplier52" display="Candidate Link"/>
    <hyperlink ref="F53" r:id="candidateSupplier53" display="Candidate Link"/>
    <hyperlink ref="F54" r:id="candidateSupplier54" display="Candidate Link"/>
    <hyperlink ref="F55" r:id="candidateSupplier55" display="Candidate Link"/>
    <hyperlink ref="F56" r:id="candidateSupplier56" display="Candidate Link"/>
    <hyperlink ref="F57" r:id="candidateSupplier57" display="Candidate Link"/>
    <hyperlink ref="F59" r:id="candidateSupplier59" display="Candidate Link"/>
    <hyperlink ref="F62" r:id="technicalF62"/>
    <hyperlink ref="F63" r:id="technicalF63"/>
    <hyperlink ref="F64" r:id="technicalF64"/>
    <hyperlink ref="F65" r:id="technicalF65"/>
    <hyperlink ref="F66" r:id="technicalF66"/>
  </hyperlinks>
  <pageMargins left="0.7" right="0.7" top="0.75" bottom="0.75" header="0.3" footer="0.3"/>
  <tableParts count="2">
    <tablePart r:id="R92b42be3b981495e"/>
    <tablePart r:id="Rd4acd364934d4c2d"/>
  </tableParts>
</worksheet>
</file>