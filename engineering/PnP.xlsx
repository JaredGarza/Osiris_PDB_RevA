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7339e94a2488c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HorizontalScroll="0"/>
  </bookViews>
  <sheets>
    <sheet name="PnP" sheetId="1" r:id="R154ef9f43ace4956"/>
  </sheets>
</workbook>
</file>

<file path=xl/comments1.xml><?xml version="1.0" encoding="utf-8"?>
<comments xmlns="http://schemas.openxmlformats.org/spreadsheetml/2006/main">
  <authors>
    <author/>
  </authors>
  <commentList>
    <comment ref="C9" authorId="0">
      <text>
        <r>
          <t>Manufacturer: TDK
Exact MPN: C2012C0G2A223J125AC
References: C1
Footprint: C_0805_2012Metric
Packaging: Cut tape / custom reel; leaders
Supplier: DigiKey
Stock snapshot: October 15, 2026.
Stock snapshot checked 2026-10-15; checkout may differ.</t>
        </r>
      </text>
    </comment>
    <comment ref="E9" authorId="0">
      <text>
        <r>
          <t>Part class: Passive. Supplier order multiple: 1. </t>
        </r>
      </text>
    </comment>
    <comment ref="F9" authorId="0">
      <text>
        <r>
          <t>Price basis: 2026-10-05 estimate. Reference / estimated unit price, not a current quote. Supplier: DigiKey. https://www.digikey.com/en/products/detail/tdk-corporation/C2012C0G2A223J125AC/5023347</t>
        </r>
      </text>
    </comment>
    <comment ref="C10" authorId="0">
      <text>
        <r>
          <t>Manufacturer: YAGEO
Exact MPN: CC0805KKX7R9BB105
References: C2,C18
Footprint: C_0805_2012Metric
Packaging: Cut tape / custom reel; leaders
Supplier: LCSC
Stock snapshot: October 15, 2026.
Stock snapshot checked 2026-10-15; checkout may differ.</t>
        </r>
      </text>
    </comment>
    <comment ref="E10" authorId="0">
      <text>
        <r>
          <t>Part class: Passive. Supplier order multiple: 20. </t>
        </r>
      </text>
    </comment>
    <comment ref="F10" authorId="0">
      <text>
        <r>
          <t>Price basis: 2026-10-05 estimate. Reference / estimated unit price, not a current quote. Supplier: LCSC. https://www.lcsc.com/product-detail/C91185.html</t>
        </r>
      </text>
    </comment>
    <comment ref="C11" authorId="0">
      <text>
        <r>
          <t>Manufacturer: YAGEO
Exact MPN: CC0603KRX7R9BB104
References: C3,C5,C8,C10,C7
Footprint: C_0603_1608Metric
Packaging: Cut tape / custom reel; leaders
Supplier: DigiKey
Stock snapshot: October 15, 2026.
100 nF 50 V X7R +/-10%, 0603; same pads; C3/C5/C8/C10 voltage rating increased from 16 V.</t>
        </r>
      </text>
    </comment>
    <comment ref="E11" authorId="0">
      <text>
        <r>
          <t>Part class: Passive. Supplier order multiple: 1. </t>
        </r>
      </text>
    </comment>
    <comment ref="F11" authorId="0">
      <text>
        <r>
          <t>Price basis: 2026-10-15 reference. Reference / estimated unit price, not a current quote. Supplier: DigiKey. https://www.digikey.com/en/products/detail/yageo/CC0603KRX7R9BB104/2103082</t>
        </r>
      </text>
    </comment>
    <comment ref="C12" authorId="0">
      <text>
        <r>
          <t>Manufacturer: Samsung Electro-Mechanics
Exact MPN: CL31B106KBHNNNE
References: C4,C9
Footprint: C_1206_3216Metric
Packaging: Cut tape / custom reel; leaders
Supplier: LCSC
Stock snapshot: October 15, 2026.
Same nominal capacitance, voltage, dielectric and tolerance. 3.2 x 1.6 mm body; existing 1206 pads retained. Effective capacitance and startup remain subject to existing hardware validation.</t>
        </r>
      </text>
    </comment>
    <comment ref="E12" authorId="0">
      <text>
        <r>
          <t>Part class: Passive. Supplier order multiple: 5. </t>
        </r>
      </text>
    </comment>
    <comment ref="F12" authorId="0">
      <text>
        <r>
          <t>Price basis: 2026-10-15 reference. Reference / estimated unit price, not a current quote. Supplier: LCSC. https://www.lcsc.com/product-detail/C89632.html</t>
        </r>
      </text>
    </comment>
    <comment ref="C13" authorId="0">
      <text>
        <r>
          <t>Manufacturer: Samsung Electro-Mechanics
Exact MPN: CL21B106KAYQNNE
References: C6
Footprint: C_0805_2012Metric
Packaging: Cut tape / custom reel; leaders
Supplier: LCSC
Stock snapshot: October 15, 2026.
Retains 10 uF X7R and 0805; voltage rating increases from 10 V to 25 V. LT3010 output at 3.29 V still requires &gt;=1 uF effective and &lt;=3 ohm ESR; no assembled stability claim.</t>
        </r>
      </text>
    </comment>
    <comment ref="E13" authorId="0">
      <text>
        <r>
          <t>Part class: Passive. Supplier order multiple: 5. </t>
        </r>
      </text>
    </comment>
    <comment ref="F13" authorId="0">
      <text>
        <r>
          <t>Price basis: 2026-10-15 reference. Reference / estimated unit price, not a current quote. Supplier: LCSC. https://www.lcsc.com/product-detail/C3039694.html</t>
        </r>
      </text>
    </comment>
    <comment ref="C14" authorId="0">
      <text>
        <r>
          <t>Manufacturer: TDK
Exact MPN: B32529C0105J000
References: C11,C12,C13,C14,C15,C16
Footprint: C_Rect_L7.2mm_W4.5mm_P5.00mm_JLC
Packaging: Bulk leads; manual insertion/trim
Supplier: DigiKey
Stock snapshot: October 15, 2026.
Same TDK B32529C0105J electrical and case specification. 000 is bulk/untaped, 189 is reel. 7.3 x 4.5 x 9.5 mm body; 5 mm pitch; 0.5 +/-0.05 mm leads in existing 0.75 mm holes. Manual insertion, lead trimming and soldering required.</t>
        </r>
      </text>
    </comment>
    <comment ref="E14" authorId="0">
      <text>
        <r>
          <t>Part class: Passive. Supplier order multiple: 1. </t>
        </r>
      </text>
    </comment>
    <comment ref="F14" authorId="0">
      <text>
        <r>
          <t>Price basis: 2026-10-15 reference. Reference / estimated unit price, not a current quote. Supplier: DigiKey. https://www.digikey.com/en/products/detail/epcos-tdk-electronics/B32529C0105J000/592697</t>
        </r>
      </text>
    </comment>
    <comment ref="C15" authorId="0">
      <text>
        <t>C17,C20: Panasonic EEHZS1H221P. Footprint: CP_Elec_Panasonic_G16_10x16.5_ZS. Two parallel capacitors per PCB. 440 uF nominal bank; verify polarity, thermal/ripple performance and installed ESC transient behavior.</t>
      </text>
    </comment>
    <comment ref="E15" authorId="0">
      <text>
        <t>Passive; 2 fitted per PCB. Spare policy retained. Order multiple 1.</t>
      </text>
    </comment>
    <comment ref="F15" authorId="0">
      <text>
        <t>LCSC reference price and stock checked October 15, 2026. Source: https://www.lcsc.com/product-detail/C385885.html. Actual checkout governs final price.</t>
      </text>
    </comment>
    <comment ref="C16" authorId="0">
      <text>
        <r>
          <t>Manufacturer: YAGEO
Exact MPN: CC0805KRX7R9BB104
References: C19
Footprint: C_0805_2012Metric
Packaging: Cut tape / custom reel; leaders
Supplier: LCSC
Stock snapshot: October 15, 2026.
Stock snapshot checked 2026-10-15; checkout may differ.</t>
        </r>
      </text>
    </comment>
    <comment ref="E16" authorId="0">
      <text>
        <r>
          <t>Part class: Passive. Supplier order multiple: 20. </t>
        </r>
      </text>
    </comment>
    <comment ref="F16" authorId="0">
      <text>
        <r>
          <t>Price basis: 2026-10-05 estimate. Reference / estimated unit price, not a current quote. Supplier: LCSC. https://www.lcsc.com/product-detail/C49678.html</t>
        </r>
      </text>
    </comment>
    <comment ref="C17" authorId="0">
      <text>
        <r>
          <t>Manufacturer: Bourns
Exact MPN: SMAJ24CA
References: D1,D4
Footprint: D_SMA
Packaging: Confirm packaging with assembler
Supplier: DigiKey
Stock snapshot: October 15, 2026.
Stock snapshot checked 2026-10-15; checkout may differ.</t>
        </r>
      </text>
    </comment>
    <comment ref="E17" authorId="0">
      <text>
        <r>
          <t>Part class: Other. Supplier order multiple: 1. </t>
        </r>
      </text>
    </comment>
    <comment ref="F17" authorId="0">
      <text>
        <r>
          <t>Price basis: 2026-10-05 estimate. Reference / estimated unit price, not a current quote. Supplier: DigiKey. https://www.digikey.com/en/products/detail/bourns-inc/SMAJ24CA/2254533</t>
        </r>
      </text>
    </comment>
    <comment ref="C18" authorId="0">
      <text>
        <r>
          <t>Manufacturer: STMicroelectronics
Exact MPN: STPST10H100SB-TR
References: D3
Footprint: STPST10H100SB_DPAK
Packaging: Confirm packaging with assembler
Supplier: DigiKey
Stock snapshot: October 15, 2026.
Stock snapshot checked 2026-10-15; checkout may differ.</t>
        </r>
      </text>
    </comment>
    <comment ref="E18" authorId="0">
      <text>
        <r>
          <t>Part class: Other. Supplier order multiple: 1. </t>
        </r>
      </text>
    </comment>
    <comment ref="F18" authorId="0">
      <text>
        <r>
          <t>Price basis: 2026-10-05 estimate. Reference / estimated unit price, not a current quote. Supplier: DigiKey. https://www.digikey.com/en/products/detail/stmicroelectronics/STPST10H100SB-TR/18700338</t>
        </r>
      </text>
    </comment>
    <comment ref="C19" authorId="0">
      <text>
        <r>
          <t>Manufacturer: Bourns
Exact MPN: SMBJ18CA
References: D5
Footprint: D_SMB
Packaging: Confirm packaging with assembler
Supplier: DigiKey
Stock snapshot: October 15, 2026.
Exact Bourns SMBJ18CA; refreshed supplier link. Do not use SMBJ24CA.</t>
        </r>
      </text>
    </comment>
    <comment ref="E19" authorId="0">
      <text>
        <r>
          <t>Part class: Other. Supplier order multiple: 1. </t>
        </r>
      </text>
    </comment>
    <comment ref="F19" authorId="0">
      <text>
        <r>
          <t>Price basis: 2026-10-15 reference. Reference / estimated unit price, not a current quote. Supplier: DigiKey. https://www.digikey.com/en/products/detail/bourns-inc/SMBJ18CA/2254206</t>
        </r>
      </text>
    </comment>
    <comment ref="C20" authorId="0">
      <text>
        <r>
          <t>Manufacturer: Keystone
Exact MPN: 3568
References: F1
Footprint: Fuseholder_Blade_Mini_Keystone_3568
Packaging: Manual/THT or special handling
Supplier: DigiKey
Stock snapshot: October 15, 2026.
Stock snapshot checked 2026-10-15; checkout may differ.</t>
        </r>
      </text>
    </comment>
    <comment ref="E20" authorId="0">
      <text>
        <r>
          <t>Part class: Other. Supplier order multiple: 1. </t>
        </r>
      </text>
    </comment>
    <comment ref="F20" authorId="0">
      <text>
        <r>
          <t>Price basis: 2026-10-05 estimate. Reference / estimated unit price, not a current quote. Supplier: DigiKey. https://www.digikey.com/en/products/detail/keystone-electronics/3568/2137306</t>
        </r>
      </text>
    </comment>
    <comment ref="C21" authorId="0">
      <text>
        <r>
          <t>Manufacturer: SCHURTER
Exact MPN: 3-140-177
References: F2
Footprint: Fuse_SCHURTER_UHS_8.4x9.4mm
Packaging: Manual/THT or special handling
Supplier: DigiKey
Stock snapshot: October 15, 2026.
Stock snapshot checked 2026-10-15; checkout may differ.</t>
        </r>
      </text>
    </comment>
    <comment ref="E21" authorId="0">
      <text>
        <r>
          <t>Part class: Other. Supplier order multiple: 1. </t>
        </r>
      </text>
    </comment>
    <comment ref="F21" authorId="0">
      <text>
        <r>
          <t>Price basis: 2026-10-05 estimate. Reference / estimated unit price, not a current quote. Supplier: DigiKey. https://www.digikey.com/en/products/detail/schurter-inc/3-140-177/20532467</t>
        </r>
      </text>
    </comment>
    <comment ref="C22" authorId="0">
      <text>
        <r>
          <t>Manufacturer: JST
Exact MPN: BM04B-GHS-TBT(LF)(SN)
References: J2
Footprint: JST_GH_BM04B-GHS-TBT_1x04-1MP_P1.25mm_Vertical
Packaging: Confirm packaging with assembler
Supplier: Newark
Stock snapshot: October 15, 2026.
Same JST part, source changed to Newark; listed UK stock ships to US in 4-6 business days.</t>
        </r>
      </text>
    </comment>
    <comment ref="E22" authorId="0">
      <text>
        <r>
          <t>Part class: Other. Supplier order multiple: 1. </t>
        </r>
      </text>
    </comment>
    <comment ref="F22" authorId="0">
      <text>
        <r>
          <t>Price basis: 2026-10-15 reference. Reference / estimated unit price, not a current quote. Supplier: Newark. https://www.newark.com/jst-japan-solderless-terminals/bm04b-ghs-tbt-lf-sn/header-1-25mm-4way-smt-vertical/dp/73M9202</t>
        </r>
      </text>
    </comment>
    <comment ref="C23" authorId="0">
      <text>
        <r>
          <t>Manufacturer: AMASS
Exact MPN: XT60PW-F
References: J1,J3,J4
Footprint: AMASS_XT60PW-F_1x02_P7.20mm_Horizontal_EdgeMounted
Packaging: Manual/THT or special handling
Supplier: LCSC
Stock snapshot: October 15, 2026.
Stock snapshot checked 2026-10-15; checkout may differ.</t>
        </r>
      </text>
    </comment>
    <comment ref="E23" authorId="0">
      <text>
        <r>
          <t>Part class: Other. Supplier order multiple: 1. </t>
        </r>
      </text>
    </comment>
    <comment ref="F23" authorId="0">
      <text>
        <r>
          <t>Price basis: 2026-10-05 estimate. Reference / estimated unit price, not a current quote. Supplier: LCSC. https://www.lcsc.com/product-detail/plug_changzhou-amass-elec-xt60pw-f_C428722.html</t>
        </r>
      </text>
    </comment>
    <comment ref="C24" authorId="0">
      <text>
        <r>
          <t>Manufacturer: Infineon
Exact MPN: ISC015N06NM5LF2ATMA1
References: Q1,Q2
Footprint: ISC015N06NM5LF2_TDSON8FL
Packaging: Confirm packaging with assembler
Supplier: DigiKey
Stock snapshot: October 15, 2026.
Stock snapshot checked 2026-10-15; checkout may differ.</t>
        </r>
      </text>
    </comment>
    <comment ref="E24" authorId="0">
      <text>
        <r>
          <t>Part class: Other. Supplier order multiple: 1. </t>
        </r>
      </text>
    </comment>
    <comment ref="F24" authorId="0">
      <text>
        <r>
          <t>Price basis: 2026-10-05 estimate. Reference / estimated unit price, not a current quote. Supplier: DigiKey. https://www.digikey.com/en/products/detail/infineon-technologies/ISC015N06NM5LF2ATMA1/22157619</t>
        </r>
      </text>
    </comment>
    <comment ref="C25" authorId="0">
      <text>
        <r>
          <t>Manufacturer: Infineon
Exact MPN: BSC070N10NS5ATMA1
References: Q3
Footprint: BSC070N10NS5_TDSON8
Packaging: Confirm packaging with assembler
Supplier: DigiKey
Stock snapshot: October 15, 2026.
Stock snapshot checked 2026-10-15; checkout may differ.</t>
        </r>
      </text>
    </comment>
    <comment ref="E25" authorId="0">
      <text>
        <r>
          <t>Part class: Other. Supplier order multiple: 1. </t>
        </r>
      </text>
    </comment>
    <comment ref="F25" authorId="0">
      <text>
        <r>
          <t>Price basis: 2026-10-05 estimate. Reference / estimated unit price, not a current quote. Supplier: DigiKey. https://www.digikey.com/en/products/detail/infineon-technologies/BSC070N10NS5ATMA1/5413723</t>
        </r>
      </text>
    </comment>
    <comment ref="C26" authorId="0">
      <text>
        <r>
          <t>Manufacturer: FOJAN
Exact MPN: FRC0805F2373TS
References: R1
Footprint: R_0805_2012Metric
Packaging: Cut tape / custom reel; leaders
Supplier: LCSC
Stock snapshot: October 15, 2026.
237 kOhm +/-1%, 125 mW, 150 V, 0805; same value/rating/pads.</t>
        </r>
      </text>
    </comment>
    <comment ref="E26" authorId="0">
      <text>
        <r>
          <t>Part class: Passive. Supplier order multiple: 100. </t>
        </r>
      </text>
    </comment>
    <comment ref="F26" authorId="0">
      <text>
        <r>
          <t>Price basis: 2026-10-15 reference. Reference / estimated unit price, not a current quote. Supplier: LCSC. https://www.lcsc.com/product-detail/C51048252.html</t>
        </r>
      </text>
    </comment>
    <comment ref="C27" authorId="0">
      <text>
        <r>
          <t>Manufacturer: FOJAN
Exact MPN: FRC0805F1182TS
References: R2
Footprint: R_0805_2012Metric
Packaging: Cut tape / custom reel; leaders
Supplier: LCSC
Stock snapshot: October 15, 2026.
11.8 kOhm +/-1%, 125 mW, 150 V, 0805; same value/rating/pads.</t>
        </r>
      </text>
    </comment>
    <comment ref="E27" authorId="0">
      <text>
        <r>
          <t>Part class: Passive. Supplier order multiple: 100. </t>
        </r>
      </text>
    </comment>
    <comment ref="F27" authorId="0">
      <text>
        <r>
          <t>Price basis: 2026-10-15 reference. Reference / estimated unit price, not a current quote. Supplier: LCSC. https://www.lcsc.com/product-detail/C2933290.html</t>
        </r>
      </text>
    </comment>
    <comment ref="C28" authorId="0">
      <text>
        <r>
          <t>Manufacturer: UNI-ROYAL
Exact MPN: 0805W8F2004T5E
References: R3
Footprint: R_0805_2012Metric
Packaging: Cut tape / custom reel; leaders
Supplier: LCSC
Stock snapshot: October 15, 2026.
Stock snapshot checked 2026-10-15; checkout may differ.</t>
        </r>
      </text>
    </comment>
    <comment ref="E28" authorId="0">
      <text>
        <r>
          <t>Part class: Passive. Supplier order multiple: 100. </t>
        </r>
      </text>
    </comment>
    <comment ref="F28" authorId="0">
      <text>
        <r>
          <t>Price basis: 2026-10-05 estimate. Reference / estimated unit price, not a current quote. Supplier: LCSC. https://www.lcsc.com/product-detail/C26112.html</t>
        </r>
      </text>
    </comment>
    <comment ref="C29" authorId="0">
      <text>
        <r>
          <t>Manufacturer: UNI-ROYAL
Exact MPN: 0805W8F2202T5E
References: R4
Footprint: R_0805_2012Metric
Packaging: Cut tape / custom reel; leaders
Supplier: LCSC
Stock snapshot: October 15, 2026.
Stock snapshot checked 2026-10-15; checkout may differ.</t>
        </r>
      </text>
    </comment>
    <comment ref="E29" authorId="0">
      <text>
        <r>
          <t>Part class: Passive. Supplier order multiple: 100. </t>
        </r>
      </text>
    </comment>
    <comment ref="F29" authorId="0">
      <text>
        <r>
          <t>Price basis: 2026-10-05 estimate. Reference / estimated unit price, not a current quote. Supplier: LCSC. https://www.lcsc.com/product-detail/C17560.html</t>
        </r>
      </text>
    </comment>
    <comment ref="C30" authorId="0">
      <text>
        <r>
          <t>Manufacturer: Ohmite
Exact MPN: FC4L64R005FER
References: R5
Footprint: OH_FC4L64_OHM
Packaging: Cut tape / custom reel; leaders
Supplier: DigiKey
Stock snapshot: October 15, 2026.
Stock snapshot checked 2026-10-15; checkout may differ.</t>
        </r>
      </text>
    </comment>
    <comment ref="E30" authorId="0">
      <text>
        <r>
          <t>Part class: Passive. Supplier order multiple: 1. </t>
        </r>
      </text>
    </comment>
    <comment ref="F30" authorId="0">
      <text>
        <r>
          <t>Price basis: 2026-10-05 estimate. Reference / estimated unit price, not a current quote. Supplier: DigiKey. https://www.digikey.com/en/products/detail/ohmite/FC4L64R005FER/3476128</t>
        </r>
      </text>
    </comment>
    <comment ref="C31" authorId="0">
      <text>
        <r>
          <t>Manufacturer: UNI-ROYAL
Exact MPN: 0805W8F6803T5E
References: R6
Footprint: R_0805_2012Metric
Packaging: Cut tape / custom reel; leaders
Supplier: LCSC
Stock snapshot: October 15, 2026.
Stock snapshot checked 2026-10-15; checkout may differ.</t>
        </r>
      </text>
    </comment>
    <comment ref="E31" authorId="0">
      <text>
        <r>
          <t>Part class: Passive. Supplier order multiple: 100. </t>
        </r>
      </text>
    </comment>
    <comment ref="F31" authorId="0">
      <text>
        <r>
          <t>Price basis: 2026-10-05 estimate. Reference / estimated unit price, not a current quote. Supplier: LCSC. https://www.lcsc.com/product-detail/C17797.html</t>
        </r>
      </text>
    </comment>
    <comment ref="C32" authorId="0">
      <text>
        <r>
          <t>Manufacturer: UNI-ROYAL
Exact MPN: 0805W8F2003T5E
References: R7
Footprint: R_0805_2012Metric
Packaging: Cut tape / custom reel; leaders
Supplier: LCSC
Stock snapshot: October 15, 2026.
Stock snapshot checked 2026-10-15; checkout may differ.</t>
        </r>
      </text>
    </comment>
    <comment ref="E32" authorId="0">
      <text>
        <r>
          <t>Part class: Passive. Supplier order multiple: 100. </t>
        </r>
      </text>
    </comment>
    <comment ref="F32" authorId="0">
      <text>
        <r>
          <t>Price basis: 2026-10-05 estimate. Reference / estimated unit price, not a current quote. Supplier: LCSC. https://www.lcsc.com/product-detail/C17539.html</t>
        </r>
      </text>
    </comment>
    <comment ref="C33" authorId="0">
      <text>
        <r>
          <t>Manufacturer: UNI-ROYAL
Exact MPN: 0805W8F100JT5E
References: R8,R9
Footprint: R_0805_2012Metric
Packaging: Cut tape / custom reel; leaders
Supplier: LCSC
Stock snapshot: October 15, 2026.
Stock snapshot checked 2026-10-15; checkout may differ.</t>
        </r>
      </text>
    </comment>
    <comment ref="E33" authorId="0">
      <text>
        <r>
          <t>Part class: Passive. Supplier order multiple: 100. </t>
        </r>
      </text>
    </comment>
    <comment ref="F33" authorId="0">
      <text>
        <r>
          <t>Price basis: 2026-10-05 estimate. Reference / estimated unit price, not a current quote. Supplier: LCSC. https://www.lcsc.com/product-detail/C17415.html</t>
        </r>
      </text>
    </comment>
    <comment ref="C34" authorId="0">
      <text>
        <r>
          <t>Manufacturer: UNI-ROYAL
Exact MPN: 0805W8F4701T5E
References: R10
Footprint: R_0805_2012Metric
Packaging: Cut tape / custom reel; leaders
Supplier: LCSC
Stock snapshot: October 15, 2026.
Stock snapshot checked 2026-10-15; checkout may differ.</t>
        </r>
      </text>
    </comment>
    <comment ref="E34" authorId="0">
      <text>
        <r>
          <t>Part class: Passive. Supplier order multiple: 100. </t>
        </r>
      </text>
    </comment>
    <comment ref="F34" authorId="0">
      <text>
        <r>
          <t>Price basis: 2026-10-05 estimate. Reference / estimated unit price, not a current quote. Supplier: LCSC. https://www.lcsc.com/product-detail/C17673.html</t>
        </r>
      </text>
    </comment>
    <comment ref="C35" authorId="0">
      <text>
        <r>
          <t>Manufacturer: RESI
Exact MPN: PTFR0805B1K58P9
References: R11
Footprint: R_0805_2012Metric
Packaging: Cut tape / custom reel; leaders
Supplier: LCSC
Stock snapshot: October 15, 2026.
1.58 kOhm +/-0.1%, 130 mW, 150 V, 25 ppm/C thin film, 0805. Improves original 1%/125 mW/100 ppm/C; divider nominal unchanged. NOT 1.5 kOhm.</t>
        </r>
      </text>
    </comment>
    <comment ref="E35" authorId="0">
      <text>
        <r>
          <t>Part class: Passive. Supplier order multiple: 5. </t>
        </r>
      </text>
    </comment>
    <comment ref="F35" authorId="0">
      <text>
        <r>
          <t>Price basis: 2026-10-15 reference. Reference / estimated unit price, not a current quote. Supplier: LCSC. https://www.lcsc.com/product-detail/C2692700.html</t>
        </r>
      </text>
    </comment>
    <comment ref="C36" authorId="0">
      <text>
        <r>
          <t>Manufacturer: UNI-ROYAL
Exact MPN: 0805W8F1001T5E
References: R12
Footprint: R_0805_2012Metric
Packaging: Cut tape / custom reel; leaders
Supplier: LCSC
Stock snapshot: October 15, 2026.
Stock snapshot checked 2026-10-15; checkout may differ.</t>
        </r>
      </text>
    </comment>
    <comment ref="E36" authorId="0">
      <text>
        <r>
          <t>Part class: Passive. Supplier order multiple: 100. </t>
        </r>
      </text>
    </comment>
    <comment ref="F36" authorId="0">
      <text>
        <r>
          <t>Price basis: 2026-10-05 estimate. Reference / estimated unit price, not a current quote. Supplier: LCSC. https://www.lcsc.com/product-detail/C17513.html</t>
        </r>
      </text>
    </comment>
    <comment ref="C37" authorId="0">
      <text>
        <r>
          <t>Manufacturer: UNI-ROYAL
Exact MPN: 0805W8F5492T5E
References: R13
Footprint: R_0805_2012Metric
Packaging: Cut tape / custom reel; leaders
Supplier: LCSC
Stock snapshot: October 15, 2026.
54.9 kOhm +/-1%, 125 mW, 150 V, 0805; same nominal ratings and pads.</t>
        </r>
      </text>
    </comment>
    <comment ref="E37" authorId="0">
      <text>
        <r>
          <t>Part class: Passive. Supplier order multiple: 100. </t>
        </r>
      </text>
    </comment>
    <comment ref="F37" authorId="0">
      <text>
        <r>
          <t>Price basis: 2026-10-15 reference. Reference / estimated unit price, not a current quote. Supplier: LCSC. https://www.lcsc.com/product-detail/C17747.html</t>
        </r>
      </text>
    </comment>
    <comment ref="C38" authorId="0">
      <text>
        <r>
          <t>Manufacturer: FOJAN
Exact MPN: FRG0805J226TS
References: R14
Footprint: R_0805_2012Metric
Packaging: Cut tape / custom reel; leaders
Supplier: LCSC
Stock snapshot: October 15, 2026.
22 MOhm +/-5%, 125 mW, 150 V, 200 ppm/C, 0805; retains intended high-resistance value and footprint.</t>
        </r>
      </text>
    </comment>
    <comment ref="E38" authorId="0">
      <text>
        <r>
          <t>Part class: Passive. Supplier order multiple: 100. </t>
        </r>
      </text>
    </comment>
    <comment ref="F38" authorId="0">
      <text>
        <r>
          <t>Price basis: 2026-10-15 reference. Reference / estimated unit price, not a current quote. Supplier: LCSC. https://www.lcsc.com/product-detail/C3000557.html</t>
        </r>
      </text>
    </comment>
    <comment ref="C39" authorId="0">
      <text>
        <r>
          <t>Manufacturer: UNI-ROYAL
Exact MPN: 0805W8F1002T5E
References: R15,R16
Footprint: R_0805_2012Metric
Packaging: Cut tape / custom reel; leaders
Supplier: LCSC
Stock snapshot: October 15, 2026.
Stock snapshot checked 2026-10-15; checkout may differ.</t>
        </r>
      </text>
    </comment>
    <comment ref="E39" authorId="0">
      <text>
        <r>
          <t>Part class: Passive. Supplier order multiple: 100. </t>
        </r>
      </text>
    </comment>
    <comment ref="F39" authorId="0">
      <text>
        <r>
          <t>Price basis: 2026-10-05 estimate. Reference / estimated unit price, not a current quote. Supplier: LCSC. https://www.lcsc.com/product-detail/C17414.html</t>
        </r>
      </text>
    </comment>
    <comment ref="C40" authorId="0">
      <text>
        <r>
          <t>Manufacturer: Vishay
Exact MPN: CRCW25121K00FKEGHP
References: R19
Footprint: R_2512_6332Metric
Packaging: Cut tape / custom reel; leaders
Supplier: DigiKey
Stock snapshot: October 15, 2026.
Normalize CAD ordering code to procurement/distributor MPN for same intended 1 kOhm CRCW-HP part. Do not use pasted 1 W 5% UNI-ROYAL selection.</t>
        </r>
      </text>
    </comment>
    <comment ref="E40" authorId="0">
      <text>
        <r>
          <t>Part class: Passive. Supplier order multiple: 1. </t>
        </r>
      </text>
    </comment>
    <comment ref="F40" authorId="0">
      <text>
        <r>
          <t>Price basis: 2026-10-15 reference. Reference / estimated unit price, not a current quote. Supplier: DigiKey. https://www.digikey.com/en/products/detail/vishay-dale/CRCW25121K00FKEGHP/2222092</t>
        </r>
      </text>
    </comment>
    <comment ref="C41" authorId="0">
      <text>
        <r>
          <t>Manufacturer: Vishay
Exact MPN: CRCW25121R00FKEGHP
References: R20
Footprint: R_2512_6332Metric
Packaging: Cut tape / custom reel; leaders
Supplier: DigiKey
Stock snapshot: October 15, 2026.
Stock snapshot checked 2026-10-15; checkout may differ.</t>
        </r>
      </text>
    </comment>
    <comment ref="E41" authorId="0">
      <text>
        <r>
          <t>Part class: Passive. Supplier order multiple: 1. </t>
        </r>
      </text>
    </comment>
    <comment ref="F41" authorId="0">
      <text>
        <r>
          <t>Price basis: 2026-10-05 estimate. Reference / estimated unit price, not a current quote. Supplier: DigiKey. https://www.digikey.com/en/products/detail/vishay-dale/CRCW25121R00FKEGHP/2222582</t>
        </r>
      </text>
    </comment>
    <comment ref="C42" authorId="0">
      <text>
        <r>
          <t>Manufacturer: UNI-ROYAL
Exact MPN: 0805W8F1000T5E
References: R21
Footprint: R_0805_2012Metric
Packaging: Cut tape / custom reel; leaders
Supplier: LCSC
Stock snapshot: October 15, 2026.
Stock snapshot checked 2026-10-15; checkout may differ.</t>
        </r>
      </text>
    </comment>
    <comment ref="E42" authorId="0">
      <text>
        <r>
          <t>Part class: Passive. Supplier order multiple: 100. </t>
        </r>
      </text>
    </comment>
    <comment ref="F42" authorId="0">
      <text>
        <r>
          <t>Price basis: 2026-10-05 estimate. Reference / estimated unit price, not a current quote. Supplier: LCSC. https://www.lcsc.com/product-detail/C17408.html</t>
        </r>
      </text>
    </comment>
    <comment ref="C43" authorId="0">
      <text>
        <r>
          <t>Manufacturer: Analog Devices
Exact MPN: LTC4368HMS-1#WTRPBF
References: U1
Footprint: MS_10-MSOP_ADI
Packaging: Cut tape / custom reel; leaders
Supplier: DigiKey
Stock snapshot: October 15, 2026.
Automotive W ordering option of same LTC4368HMS-1. Retains -40 to 125 C H grade, -1 reverse threshold, 10-lead MSOP and pin functions. Source: ADI LTC4368 Rev C ordering table. Only 10 listed for 6-piece order.</t>
        </r>
      </text>
    </comment>
    <comment ref="E43" authorId="0">
      <text>
        <r>
          <t>Part class: IC. Supplier order multiple: 1. </t>
        </r>
      </text>
    </comment>
    <comment ref="F43" authorId="0">
      <text>
        <r>
          <t>Price basis: 2026-10-15 reference. Reference / estimated unit price, not a current quote. Supplier: DigiKey. https://www.digikey.com/en/products/detail/analog-devices-inc/LTC4368HMS-1-WTRPBF/12385846</t>
        </r>
      </text>
    </comment>
    <comment ref="C44" authorId="0">
      <text>
        <t>U2: Texas Instruments INA238AIDGSR. Footprint: VSSOP10_DGS_TEX. INA238 16-bit U2. Use updated INA238 firmware. Same DGS footprint and pinout as former INA228.</t>
      </text>
    </comment>
    <comment ref="E44" authorId="0">
      <text>
        <t>IC; 1 fitted per PCB. Spare policy retained. Order multiple 1.</t>
      </text>
    </comment>
    <comment ref="F44" authorId="0">
      <text>
        <t>LCSC reference price and stock checked October 15, 2026. Source: https://www.lcsc.com/product-detail/C2868250.html. Actual checkout governs final price.</t>
      </text>
    </comment>
    <comment ref="C45" authorId="0">
      <text>
        <r>
          <t>Manufacturer: Analog Devices
Exact MPN: LT3010EMS8E#TRPBF
References: U3
Footprint: MSOP-8-1EP_3x3mm_P0.65mm_EP1.68x1.88mm
Packaging: Cut tape / custom reel; leaders
Supplier: DigiKey
Stock snapshot: October 15, 2026.
Stock snapshot checked 2026-10-15; checkout may differ.</t>
        </r>
      </text>
    </comment>
    <comment ref="E45" authorId="0">
      <text>
        <r>
          <t>Part class: IC. Supplier order multiple: 1. </t>
        </r>
      </text>
    </comment>
    <comment ref="F45" authorId="0">
      <text>
        <r>
          <t>Price basis: 2026-10-05 estimate. Reference / estimated unit price, not a current quote. Supplier: DigiKey. https://www.digikey.com/en/products/detail/analog-devices-inc/LT3010EMS8E-TRPBF/960041</t>
        </r>
      </text>
    </comment>
    <comment ref="C46" authorId="0">
      <text>
        <r>
          <t>Manufacturer: Nexperia
Exact MPN: 74AUP1G07GW,125
References: U4
Footprint: SOT-353_SC-70-5
Packaging: Cut tape / custom reel; leaders
Supplier: DigiKey
Stock snapshot: October 15, 2026.
Stock snapshot checked 2026-10-15; checkout may differ.</t>
        </r>
      </text>
    </comment>
    <comment ref="E46" authorId="0">
      <text>
        <r>
          <t>Part class: IC. Supplier order multiple: 1. </t>
        </r>
      </text>
    </comment>
    <comment ref="F46" authorId="0">
      <text>
        <r>
          <t>Price basis: 2026-10-05 estimate. Reference / estimated unit price, not a current quote. Supplier: DigiKey. https://www.digikey.com/en/products/detail/nexperia-usa-inc/74AUP1G07GW-125/1300720</t>
        </r>
      </text>
    </comment>
    <comment ref="C47" authorId="0">
      <text>
        <r>
          <t>Manufacturer: Analog Devices
Exact MPN: LTC4359IMS8#TRPBF
References: U5
Footprint: MSOP-8_3x3mm_P0.65mm
Packaging: Cut tape / custom reel; leaders
Supplier: DigiKey
Stock snapshot: October 15, 2026.
Stock snapshot checked 2026-10-15; checkout may differ.</t>
        </r>
      </text>
    </comment>
    <comment ref="E47" authorId="0">
      <text>
        <r>
          <t>Part class: IC. Supplier order multiple: 1. </t>
        </r>
      </text>
    </comment>
    <comment ref="F47" authorId="0">
      <text>
        <r>
          <t>Price basis: 2026-10-05 estimate. Reference / estimated unit price, not a current quote. Supplier: DigiKey. https://www.digikey.com/en/products/detail/analog-devices-inc/LTC4359IMS8-TRPBF/3306830</t>
        </r>
      </text>
    </comment>
    <comment ref="C48" authorId="0">
      <text>
        <r>
          <t>Manufacturer: Littelfuse
Exact MPN: 029707.5WXNV
References: F1 fuse insert
Footprint: MINI blade fuse insert (separate)
Packaging: Confirm packaging with assembler
Supplier: DigiKey
Stock snapshot: October 15, 2026.
Stock snapshot checked 2026-10-15; checkout may differ.</t>
        </r>
      </text>
    </comment>
    <comment ref="E48" authorId="0">
      <text>
        <r>
          <t>Part class: Other. Supplier order multiple: 1. </t>
        </r>
      </text>
    </comment>
    <comment ref="F48" authorId="0">
      <text>
        <r>
          <t>Price basis: 2026-10-05 estimate. Reference / estimated unit price, not a current quote. Supplier: DigiKey. https://www.digikey.com/en/products/detail/littelfuse-inc/029707-5WXNV/146586</t>
        </r>
      </text>
    </comment>
  </commentList>
</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$#,##0.00"/>
    <x:numFmt numFmtId="202" formatCode="#,##0"/>
    <x:numFmt numFmtId="203" formatCode="$0.0000"/>
  </x:numFmts>
  <x:fonts count="9">
    <x:font>
      <x:sz val="11"/>
      <x:name val="Carlito"/>
    </x:font>
    <x:font>
      <x:sz val="10"/>
      <x:color rgb="FF25354A"/>
      <x:name val="Arial"/>
    </x:font>
    <x:font>
      <x:b/>
      <x:sz val="14"/>
      <x:color rgb="FF25354A"/>
      <x:name val="Arial"/>
    </x:font>
    <x:font>
      <x:b/>
      <x:sz val="10"/>
      <x:color rgb="FF174EA6"/>
      <x:name val="Arial"/>
    </x:font>
    <x:font>
      <x:b/>
      <x:sz val="10"/>
      <x:color rgb="FF754B00"/>
      <x:name val="Arial"/>
    </x:font>
    <x:font>
      <x:b/>
      <x:sz val="10"/>
      <x:color rgb="FF25354A"/>
      <x:name val="Arial"/>
    </x:font>
    <x:font>
      <x:b/>
      <x:sz val="10"/>
      <x:color rgb="FFFFFFFF"/>
      <x:name val="Arial"/>
    </x:font>
    <x:font>
      <x:b/>
      <x:sz val="10"/>
      <x:color rgb="FF17446B"/>
      <x:name val="Arial"/>
    </x:font>
    <x:font>
      <x:sz val="10"/>
      <x:color rgb="FF174EA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7F0FF"/>
      </x:patternFill>
    </x:fill>
    <x:fill>
      <x:patternFill patternType="solid">
        <x:fgColor rgb="FFFFF1D6"/>
      </x:patternFill>
    </x:fill>
    <x:fill>
      <x:patternFill patternType="solid">
        <x:fgColor rgb="FF25354A"/>
      </x:patternFill>
    </x:fill>
    <x:fill>
      <x:patternFill patternType="solid">
        <x:fgColor rgb="FFDCE7F3"/>
      </x:patternFill>
    </x:fill>
    <x:fill>
      <x:patternFill patternType="solid">
        <x:fgColor rgb="FFF3F5F7"/>
      </x:patternFill>
    </x:fill>
    <x:fill>
      <x:patternFill patternType="solid">
        <x:fgColor rgb="FFE9EDF2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2" fontId="1" fillId="6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1" fillId="6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6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1" fontId="5" fillId="7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B2226"/>
      </x:font>
      <x:fill>
        <x:patternFill>
          <x:bgColor rgb="FFFDE5E5"/>
        </x:patternFill>
      </x:fill>
    </x:dxf>
    <x:dxf>
      <x:font>
        <x:color rgb="FF754B00"/>
      </x:font>
      <x:fill>
        <x:patternFill>
          <x:bgColor rgb="FFFFF1D6"/>
        </x:patternFill>
      </x:fill>
    </x:dxf>
    <x:dxf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10c3fd23f4833" /><Relationship Type="http://schemas.openxmlformats.org/officeDocument/2006/relationships/theme" Target="/xl/theme/theme1.xml" Id="R02a1595063d84669" /><Relationship Type="http://schemas.openxmlformats.org/officeDocument/2006/relationships/sharedStrings" Target="/xl/sharedStrings.xml" Id="R6953cb50fd5641c8" /><Relationship Type="http://schemas.openxmlformats.org/officeDocument/2006/relationships/worksheet" Target="/xl/worksheets/sheet1.xml" Id="R154ef9f43ace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comments" Target="/xl/comments1.xml" Id="Rf7b16d8faf5c4604" /><ns0:Relationship Type="http://schemas.openxmlformats.org/officeDocument/2006/relationships/vmlDrawing" Target="/xl/drawings/vmldrawing.vml" Id="R86445d7649134bfd" /><ns0:Relationship Id="purchase0" Type="http://schemas.openxmlformats.org/officeDocument/2006/relationships/hyperlink" Target="https://www.digikey.com/en/products/detail/tdk-corporation/C2012C0G2A223J125AC/5023347" TargetMode="External" /><ns0:Relationship Id="purchase1" Type="http://schemas.openxmlformats.org/officeDocument/2006/relationships/hyperlink" Target="https://www.lcsc.com/product-detail/C91185.html" TargetMode="External" /><ns0:Relationship Id="purchase2" Type="http://schemas.openxmlformats.org/officeDocument/2006/relationships/hyperlink" Target="https://www.digikey.com/en/products/detail/yageo/CC0603KRX7R9BB104/2103082" TargetMode="External" /><ns0:Relationship Id="purchase3" Type="http://schemas.openxmlformats.org/officeDocument/2006/relationships/hyperlink" Target="https://www.lcsc.com/product-detail/C89632.html" TargetMode="External" /><ns0:Relationship Id="purchase4" Type="http://schemas.openxmlformats.org/officeDocument/2006/relationships/hyperlink" Target="https://www.lcsc.com/product-detail/C3039694.html" TargetMode="External" /><ns0:Relationship Id="purchase5" Type="http://schemas.openxmlformats.org/officeDocument/2006/relationships/hyperlink" Target="https://www.digikey.com/en/products/detail/epcos-tdk-electronics/B32529C0105J000/592697" TargetMode="External" /><ns0:Relationship Id="purchase6" Type="http://schemas.openxmlformats.org/officeDocument/2006/relationships/hyperlink" Target="https://www.lcsc.com/product-detail/C385885.html" TargetMode="External" /><ns0:Relationship Id="purchase7" Type="http://schemas.openxmlformats.org/officeDocument/2006/relationships/hyperlink" Target="https://www.lcsc.com/product-detail/C49678.html" TargetMode="External" /><ns0:Relationship Id="purchase8" Type="http://schemas.openxmlformats.org/officeDocument/2006/relationships/hyperlink" Target="https://www.digikey.com/en/products/detail/bourns-inc/SMAJ24CA/2254533" TargetMode="External" /><ns0:Relationship Id="purchase9" Type="http://schemas.openxmlformats.org/officeDocument/2006/relationships/hyperlink" Target="https://www.digikey.com/en/products/detail/stmicroelectronics/STPST10H100SB-TR/18700338" TargetMode="External" /><ns0:Relationship Id="purchase10" Type="http://schemas.openxmlformats.org/officeDocument/2006/relationships/hyperlink" Target="https://www.digikey.com/en/products/detail/bourns-inc/SMBJ18CA/2254206" TargetMode="External" /><ns0:Relationship Id="purchase11" Type="http://schemas.openxmlformats.org/officeDocument/2006/relationships/hyperlink" Target="https://www.digikey.com/en/products/detail/keystone-electronics/3568/2137306" TargetMode="External" /><ns0:Relationship Id="purchase12" Type="http://schemas.openxmlformats.org/officeDocument/2006/relationships/hyperlink" Target="https://www.digikey.com/en/products/detail/schurter-inc/3-140-177/20532467" TargetMode="External" /><ns0:Relationship Id="purchase13" Type="http://schemas.openxmlformats.org/officeDocument/2006/relationships/hyperlink" Target="https://www.newark.com/jst-japan-solderless-terminals/bm04b-ghs-tbt-lf-sn/header-1-25mm-4way-smt-vertical/dp/73M9202" TargetMode="External" /><ns0:Relationship Id="purchase14" Type="http://schemas.openxmlformats.org/officeDocument/2006/relationships/hyperlink" Target="https://www.lcsc.com/product-detail/plug_changzhou-amass-elec-xt60pw-f_C428722.html" TargetMode="External" /><ns0:Relationship Id="purchase15" Type="http://schemas.openxmlformats.org/officeDocument/2006/relationships/hyperlink" Target="https://www.digikey.com/en/products/detail/infineon-technologies/ISC015N06NM5LF2ATMA1/22157619" TargetMode="External" /><ns0:Relationship Id="purchase16" Type="http://schemas.openxmlformats.org/officeDocument/2006/relationships/hyperlink" Target="https://www.digikey.com/en/products/detail/infineon-technologies/BSC070N10NS5ATMA1/5413723" TargetMode="External" /><ns0:Relationship Id="purchase17" Type="http://schemas.openxmlformats.org/officeDocument/2006/relationships/hyperlink" Target="https://www.lcsc.com/product-detail/C51048252.html" TargetMode="External" /><ns0:Relationship Id="purchase18" Type="http://schemas.openxmlformats.org/officeDocument/2006/relationships/hyperlink" Target="https://www.lcsc.com/product-detail/C2933290.html" TargetMode="External" /><ns0:Relationship Id="purchase19" Type="http://schemas.openxmlformats.org/officeDocument/2006/relationships/hyperlink" Target="https://www.lcsc.com/product-detail/C26112.html" TargetMode="External" /><ns0:Relationship Id="purchase20" Type="http://schemas.openxmlformats.org/officeDocument/2006/relationships/hyperlink" Target="https://www.lcsc.com/product-detail/C17560.html" TargetMode="External" /><ns0:Relationship Id="purchase21" Type="http://schemas.openxmlformats.org/officeDocument/2006/relationships/hyperlink" Target="https://www.digikey.com/en/products/detail/ohmite/FC4L64R005FER/3476128" TargetMode="External" /><ns0:Relationship Id="purchase22" Type="http://schemas.openxmlformats.org/officeDocument/2006/relationships/hyperlink" Target="https://www.lcsc.com/product-detail/C17797.html" TargetMode="External" /><ns0:Relationship Id="purchase23" Type="http://schemas.openxmlformats.org/officeDocument/2006/relationships/hyperlink" Target="https://www.lcsc.com/product-detail/C17539.html" TargetMode="External" /><ns0:Relationship Id="purchase24" Type="http://schemas.openxmlformats.org/officeDocument/2006/relationships/hyperlink" Target="https://www.lcsc.com/product-detail/C17415.html" TargetMode="External" /><ns0:Relationship Id="purchase25" Type="http://schemas.openxmlformats.org/officeDocument/2006/relationships/hyperlink" Target="https://www.lcsc.com/product-detail/C17673.html" TargetMode="External" /><ns0:Relationship Id="purchase26" Type="http://schemas.openxmlformats.org/officeDocument/2006/relationships/hyperlink" Target="https://www.lcsc.com/product-detail/C2692700.html" TargetMode="External" /><ns0:Relationship Id="purchase27" Type="http://schemas.openxmlformats.org/officeDocument/2006/relationships/hyperlink" Target="https://www.lcsc.com/product-detail/C17513.html" TargetMode="External" /><ns0:Relationship Id="purchase28" Type="http://schemas.openxmlformats.org/officeDocument/2006/relationships/hyperlink" Target="https://www.lcsc.com/product-detail/C17747.html" TargetMode="External" /><ns0:Relationship Id="purchase29" Type="http://schemas.openxmlformats.org/officeDocument/2006/relationships/hyperlink" Target="https://www.lcsc.com/product-detail/C3000557.html" TargetMode="External" /><ns0:Relationship Id="purchase30" Type="http://schemas.openxmlformats.org/officeDocument/2006/relationships/hyperlink" Target="https://www.lcsc.com/product-detail/C17414.html" TargetMode="External" /><ns0:Relationship Id="purchase31" Type="http://schemas.openxmlformats.org/officeDocument/2006/relationships/hyperlink" Target="https://www.digikey.com/en/products/detail/vishay-dale/CRCW25121K00FKEGHP/2222092" TargetMode="External" /><ns0:Relationship Id="purchase32" Type="http://schemas.openxmlformats.org/officeDocument/2006/relationships/hyperlink" Target="https://www.digikey.com/en/products/detail/vishay-dale/CRCW25121R00FKEGHP/2222582" TargetMode="External" /><ns0:Relationship Id="purchase33" Type="http://schemas.openxmlformats.org/officeDocument/2006/relationships/hyperlink" Target="https://www.lcsc.com/product-detail/C17408.html" TargetMode="External" /><ns0:Relationship Id="purchase34" Type="http://schemas.openxmlformats.org/officeDocument/2006/relationships/hyperlink" Target="https://www.digikey.com/en/products/detail/analog-devices-inc/LTC4368HMS-1-WTRPBF/12385846" TargetMode="External" /><ns0:Relationship Id="purchase35" Type="http://schemas.openxmlformats.org/officeDocument/2006/relationships/hyperlink" Target="https://www.lcsc.com/product-detail/C2868250.html" TargetMode="External" /><ns0:Relationship Id="purchase36" Type="http://schemas.openxmlformats.org/officeDocument/2006/relationships/hyperlink" Target="https://www.digikey.com/en/products/detail/analog-devices-inc/LT3010EMS8E-TRPBF/960041" TargetMode="External" /><ns0:Relationship Id="purchase37" Type="http://schemas.openxmlformats.org/officeDocument/2006/relationships/hyperlink" Target="https://www.digikey.com/en/products/detail/nexperia-usa-inc/74AUP1G07GW-125/1300720" TargetMode="External" /><ns0:Relationship Id="purchase38" Type="http://schemas.openxmlformats.org/officeDocument/2006/relationships/hyperlink" Target="https://www.digikey.com/en/products/detail/analog-devices-inc/LTC4359IMS8-TRPBF/3306830" TargetMode="External" /><ns0:Relationship Id="purchase39" Type="http://schemas.openxmlformats.org/officeDocument/2006/relationships/hyperlink" Target="https://www.digikey.com/en/products/detail/littelfuse-inc/029707-5WXNV/146586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 zoomScale="85"/>
  </sheetViews>
  <sheetFormatPr defaultRowHeight="15"/>
  <cols>
    <col min="1" max="1" width="16" hidden="0" customWidth="1"/>
    <col min="2" max="2" width="24" hidden="0" customWidth="1"/>
    <col min="3" max="3" width="30" hidden="0" customWidth="1"/>
    <col min="4" max="4" width="8" hidden="0" customWidth="1"/>
    <col min="5" max="5" width="10" hidden="0" customWidth="1"/>
    <col min="6" max="6" width="11" hidden="0" customWidth="1"/>
    <col min="7" max="7" width="12" hidden="0" customWidth="1"/>
    <col min="8" max="8" width="12" hidden="0" customWidth="1"/>
    <col min="9" max="9" width="12" hidden="0" customWidth="1"/>
    <col min="10" max="10" width="15" hidden="0" customWidth="1"/>
    <col min="11" max="11" width="12" hidden="0" customWidth="1"/>
  </cols>
  <sheetData>
    <row r="1" ht="28" customHeight="1">
      <c r="A1" s="3" t="str">
        <v>OSIRIS PDB REV1.1 — PnP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0" customHeight="1">
      <c r="A2" s="2" t="str">
        <v>Procurement for local assembly. USD. Reference prices and stock snapshot dated October 15, 2026.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>
      <c r="A3" s="2" t="str">
        <v>Boards</v>
      </c>
      <c r="B3" s="6" t="n">
        <v>5</v>
      </c>
      <c r="C3" s="2" t="str">
        <v>IC / other extra</v>
      </c>
      <c r="D3" s="8" t="n">
        <v>0.2</v>
      </c>
      <c r="E3" s="2" t="str">
        <v>Passive min.</v>
      </c>
      <c r="F3" s="6" t="n">
        <v>100</v>
      </c>
      <c r="G3" s="2" t="str">
        <v>Passive × need</v>
      </c>
      <c r="H3" s="6" t="n">
        <v>10</v>
      </c>
      <c r="I3" s="2" t="str">
        <v>Blue cells: editable inputs</v>
      </c>
      <c r="J3" s="2"/>
      <c r="K3" s="2"/>
    </row>
    <row r="4" ht="22" customHeight="1">
      <c r="A4" s="10" t="str">
        <v>Updated U2 and C17/C20. Assembly and service quotes are still needed. Confirm stock at checkout.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ht="20" customHeight="1">
      <c r="A5" s="2" t="str">
        <v>Purchased parts subtotal (known)</v>
      </c>
      <c r="B5" s="2"/>
      <c r="C5" s="2"/>
      <c r="D5" s="13" t="n">
        <f>SUM(H9:H48)</f>
        <v>788.8374</v>
      </c>
      <c r="E5" s="13"/>
      <c r="F5" s="2" t="str">
        <v>Fitted parts / board (known)</v>
      </c>
      <c r="G5" s="2"/>
      <c r="H5" s="13" t="n">
        <f>SUM(G9:G48)</f>
        <v>57.84179999999999</v>
      </c>
      <c r="I5" s="2" t="str">
        <v>Full build cost</v>
      </c>
      <c r="J5" s="2"/>
      <c r="K5" s="13" t="str">
        <f>K66</f>
        <v>Quote needed</v>
      </c>
    </row>
    <row r="6" ht="20" customHeight="1">
      <c r="A6" s="2" t="str">
        <v>Purchased parts / board (includes spares)</v>
      </c>
      <c r="B6" s="2"/>
      <c r="C6" s="2"/>
      <c r="D6" s="13" t="n">
        <f>D5/$B$3</f>
        <v>157.76748</v>
      </c>
      <c r="E6" s="13"/>
      <c r="F6" s="2" t="str">
        <v>Assembly labor / board</v>
      </c>
      <c r="G6" s="2"/>
      <c r="H6" s="13" t="str">
        <f>IF(ISNUMBER(I56),I56/$B$3,"Quote needed")</f>
        <v>Quote needed</v>
      </c>
      <c r="I6" s="2" t="str">
        <v>All-in / assembled board</v>
      </c>
      <c r="J6" s="2"/>
      <c r="K6" s="13" t="str">
        <f>K67</f>
        <v>Quote needed</v>
      </c>
    </row>
    <row r="7" ht="20" customHeight="1">
      <c r="A7" s="2" t="str">
        <v>Passives: MAX(100, 10 × fitted need). Other parts: +20%, rounded up. Supplier pack multiples included.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31" customHeight="1">
      <c r="A8" s="17" t="str">
        <v>References</v>
      </c>
      <c r="B8" s="17" t="str">
        <v>Part / manufacturer</v>
      </c>
      <c r="C8" s="17" t="str">
        <v>Exact part number</v>
      </c>
      <c r="D8" s="17" t="str">
        <v>Qty / PCB</v>
      </c>
      <c r="E8" s="17" t="str">
        <v>Order qty</v>
      </c>
      <c r="F8" s="17" t="str">
        <v>Unit USD</v>
      </c>
      <c r="G8" s="17" t="str">
        <v>Fitted / PCB USD</v>
      </c>
      <c r="H8" s="17" t="str">
        <v>Order USD</v>
      </c>
      <c r="I8" s="17" t="str">
        <v>Stock</v>
      </c>
      <c r="J8" s="17" t="str">
        <v>Availability</v>
      </c>
      <c r="K8" s="17" t="str">
        <v>Purchase</v>
      </c>
    </row>
    <row r="9" ht="32" customHeight="1">
      <c r="A9" s="23" t="str">
        <v>C1</v>
      </c>
      <c r="B9" s="23" t="str">
        <v>22 nF 100 V C0G 5%
TDK</v>
      </c>
      <c r="C9" s="23" t="str">
        <v>C2012C0G2A223J125AC</v>
      </c>
      <c r="D9" s="28" t="n">
        <v>1</v>
      </c>
      <c r="E9" s="28" t="n">
        <f>CEILING(MAX(MAX($F$3,$H$3*D9*$B$3),0),1)</f>
        <v>100</v>
      </c>
      <c r="F9" s="30" t="n">
        <v>0.1236</v>
      </c>
      <c r="G9" s="32" t="n">
        <f>IF(ISNUMBER(F9),D9*F9,"")</f>
        <v>0.1236</v>
      </c>
      <c r="H9" s="32" t="n">
        <f>IF(ISNUMBER(F9),E9*F9,"")</f>
        <v>12.36</v>
      </c>
      <c r="I9" s="28" t="n">
        <v>32275</v>
      </c>
      <c r="J9" s="23" t="str">
        <f>IF(ISNUMBER(I9),IF(I9&gt;=E9,"Available","Short stock"),"Unconfirmed")</f>
        <v>Available</v>
      </c>
      <c r="K9" s="24" t="str">
        <v>View part</v>
      </c>
    </row>
    <row r="10" ht="32" customHeight="1">
      <c r="A10" s="25" t="str">
        <v>C2,C18</v>
      </c>
      <c r="B10" s="25" t="str">
        <v>1U0
YAGEO</v>
      </c>
      <c r="C10" s="25" t="str">
        <v>CC0805KKX7R9BB105</v>
      </c>
      <c r="D10" s="29" t="n">
        <v>2</v>
      </c>
      <c r="E10" s="29" t="n">
        <f>CEILING(MAX(MAX($F$3,$H$3*D10*$B$3),0),20)</f>
        <v>100</v>
      </c>
      <c r="F10" s="31" t="n">
        <v>0.033</v>
      </c>
      <c r="G10" s="33" t="n">
        <f>IF(ISNUMBER(F10),D10*F10,"")</f>
        <v>0.066</v>
      </c>
      <c r="H10" s="33" t="n">
        <f>IF(ISNUMBER(F10),E10*F10,"")</f>
        <v>3.3000000000000003</v>
      </c>
      <c r="I10" s="29" t="n">
        <v>598840</v>
      </c>
      <c r="J10" s="25" t="str">
        <f>IF(ISNUMBER(I10),IF(I10&gt;=E10,"Available","Short stock"),"Unconfirmed")</f>
        <v>Available</v>
      </c>
      <c r="K10" s="24" t="str">
        <v>View part</v>
      </c>
    </row>
    <row r="11" ht="32" customHeight="1">
      <c r="A11" s="23" t="str">
        <v>C3,C5,C7,C8,C10</v>
      </c>
      <c r="B11" s="23" t="str">
        <v>100 nF 50 V X7R 10%
YAGEO</v>
      </c>
      <c r="C11" s="23" t="str">
        <v>CC0603KRX7R9BB104</v>
      </c>
      <c r="D11" s="28" t="n">
        <v>5</v>
      </c>
      <c r="E11" s="28" t="n">
        <f>CEILING(MAX(MAX($F$3,$H$3*D11*$B$3),0),1)</f>
        <v>250</v>
      </c>
      <c r="F11" s="30" t="n">
        <f>IF(E11&gt;=500,0.03526,IF(E11&gt;=100,0.0478,IF(E11&gt;=50,0.0554,IF(E11&gt;=10,0.08,0.14))))</f>
        <v>0.0478</v>
      </c>
      <c r="G11" s="32" t="n">
        <f>IF(ISNUMBER(F11),D11*F11,"")</f>
        <v>0.23900000000000002</v>
      </c>
      <c r="H11" s="32" t="n">
        <f>IF(ISNUMBER(F11),E11*F11,"")</f>
        <v>11.950000000000001</v>
      </c>
      <c r="I11" s="28" t="n">
        <v>4752472</v>
      </c>
      <c r="J11" s="23" t="str">
        <f>IF(ISNUMBER(I11),IF(I11&gt;=E11,"Available","Short stock"),"Unconfirmed")</f>
        <v>Available</v>
      </c>
      <c r="K11" s="24" t="str">
        <v>View part</v>
      </c>
    </row>
    <row r="12" ht="32" customHeight="1">
      <c r="A12" s="25" t="str">
        <v>C4,C9</v>
      </c>
      <c r="B12" s="25" t="str">
        <v>10 uF 50 V X7R 10%
Samsung Electro-Mechanics</v>
      </c>
      <c r="C12" s="25" t="str">
        <v>CL31B106KBHNNNE</v>
      </c>
      <c r="D12" s="29" t="n">
        <v>2</v>
      </c>
      <c r="E12" s="29" t="n">
        <f>CEILING(MAX(MAX($F$3,$H$3*D12*$B$3),0),5)</f>
        <v>100</v>
      </c>
      <c r="F12" s="31" t="n">
        <v>0.2143</v>
      </c>
      <c r="G12" s="33" t="n">
        <f>IF(ISNUMBER(F12),D12*F12,"")</f>
        <v>0.4286</v>
      </c>
      <c r="H12" s="33" t="n">
        <f>IF(ISNUMBER(F12),E12*F12,"")</f>
        <v>21.43</v>
      </c>
      <c r="I12" s="29" t="n">
        <v>50165</v>
      </c>
      <c r="J12" s="25" t="str">
        <f>IF(ISNUMBER(I12),IF(I12&gt;=E12,"Available","Short stock"),"Unconfirmed")</f>
        <v>Available</v>
      </c>
      <c r="K12" s="24" t="str">
        <v>View part</v>
      </c>
    </row>
    <row r="13" ht="32" customHeight="1">
      <c r="A13" s="23" t="str">
        <v>C6</v>
      </c>
      <c r="B13" s="23" t="str">
        <v>10 uF 25 V X7R 10%
Samsung Electro-Mechanics</v>
      </c>
      <c r="C13" s="23" t="str">
        <v>CL21B106KAYQNNE</v>
      </c>
      <c r="D13" s="28" t="n">
        <v>1</v>
      </c>
      <c r="E13" s="28" t="n">
        <f>CEILING(MAX(MAX($F$3,$H$3*D13*$B$3),0),5)</f>
        <v>100</v>
      </c>
      <c r="F13" s="30" t="n">
        <v>0.0905</v>
      </c>
      <c r="G13" s="32" t="n">
        <f>IF(ISNUMBER(F13),D13*F13,"")</f>
        <v>0.0905</v>
      </c>
      <c r="H13" s="32" t="n">
        <f>IF(ISNUMBER(F13),E13*F13,"")</f>
        <v>9.049999999999999</v>
      </c>
      <c r="I13" s="28" t="n">
        <v>167075</v>
      </c>
      <c r="J13" s="23" t="str">
        <f>IF(ISNUMBER(I13),IF(I13&gt;=E13,"Available","Short stock"),"Unconfirmed")</f>
        <v>Available</v>
      </c>
      <c r="K13" s="24" t="str">
        <v>View part</v>
      </c>
    </row>
    <row r="14" ht="32" customHeight="1">
      <c r="A14" s="25" t="str">
        <v>C11–C16</v>
      </c>
      <c r="B14" s="25" t="str">
        <v>1u
TDK</v>
      </c>
      <c r="C14" s="25" t="str">
        <v>B32529C0105J000</v>
      </c>
      <c r="D14" s="29" t="n">
        <v>6</v>
      </c>
      <c r="E14" s="29" t="n">
        <f>CEILING(MAX(MAX($F$3,$H$3*D14*$B$3),0),1)</f>
        <v>300</v>
      </c>
      <c r="F14" s="31" t="n">
        <v>0.2842</v>
      </c>
      <c r="G14" s="33" t="n">
        <f>IF(ISNUMBER(F14),D14*F14,"")</f>
        <v>1.7052</v>
      </c>
      <c r="H14" s="33" t="n">
        <f>IF(ISNUMBER(F14),E14*F14,"")</f>
        <v>85.26</v>
      </c>
      <c r="I14" s="29" t="n">
        <v>1655</v>
      </c>
      <c r="J14" s="25" t="str">
        <f>IF(ISNUMBER(I14),IF(I14&gt;=E14,"Available","Short stock"),"Unconfirmed")</f>
        <v>Available</v>
      </c>
      <c r="K14" s="24" t="str">
        <v>View part</v>
      </c>
    </row>
    <row r="15" ht="32" customHeight="1">
      <c r="A15" s="23" t="str">
        <v>C17,C20</v>
      </c>
      <c r="B15" s="23" t="str">
        <v>220 uF 50 V hybrid
Panasonic</v>
      </c>
      <c r="C15" s="23" t="str">
        <v>EEHZS1H221P</v>
      </c>
      <c r="D15" s="28" t="n">
        <v>2</v>
      </c>
      <c r="E15" s="28" t="n">
        <f>CEILING(MAX(MAX($F$3,$H$3*D15*$B$3),0),1)</f>
        <v>100</v>
      </c>
      <c r="F15" s="30" t="n">
        <f>IF(E15&gt;=1000,0.8678,IF(E15&gt;=500,0.8991,IF(E15&gt;=250,0.9714,IF(E15&gt;=30,1.2492,IF(E15&gt;=10,1.3905,1.6518)))))</f>
        <v>1.2492</v>
      </c>
      <c r="G15" s="32" t="n">
        <f>IF(ISNUMBER(F15),D15*F15,"")</f>
        <v>2.4984</v>
      </c>
      <c r="H15" s="32" t="n">
        <f>IF(ISNUMBER(F15),E15*F15,"")</f>
        <v>124.92000000000002</v>
      </c>
      <c r="I15" s="28" t="n">
        <v>470</v>
      </c>
      <c r="J15" s="23" t="str">
        <f>IF(ISNUMBER(I15),IF(I15&gt;=E15,"Available","Short stock"),"Unconfirmed")</f>
        <v>Available</v>
      </c>
      <c r="K15" s="24" t="str">
        <v>View part</v>
      </c>
    </row>
    <row r="16" ht="32" customHeight="1">
      <c r="A16" s="25" t="str">
        <v>C19</v>
      </c>
      <c r="B16" s="25" t="str">
        <v>100n 50V X7R
YAGEO</v>
      </c>
      <c r="C16" s="25" t="str">
        <v>CC0805KRX7R9BB104</v>
      </c>
      <c r="D16" s="29" t="n">
        <v>1</v>
      </c>
      <c r="E16" s="29" t="n">
        <f>CEILING(MAX(MAX($F$3,$H$3*D16*$B$3),0),20)</f>
        <v>100</v>
      </c>
      <c r="F16" s="31" t="n">
        <v>0.0191</v>
      </c>
      <c r="G16" s="33" t="n">
        <f>IF(ISNUMBER(F16),D16*F16,"")</f>
        <v>0.0191</v>
      </c>
      <c r="H16" s="33" t="n">
        <f>IF(ISNUMBER(F16),E16*F16,"")</f>
        <v>1.91</v>
      </c>
      <c r="I16" s="29" t="n">
        <v>9633120</v>
      </c>
      <c r="J16" s="25" t="str">
        <f>IF(ISNUMBER(I16),IF(I16&gt;=E16,"Available","Short stock"),"Unconfirmed")</f>
        <v>Available</v>
      </c>
      <c r="K16" s="24" t="str">
        <v>View part</v>
      </c>
    </row>
    <row r="17" ht="32" customHeight="1">
      <c r="A17" s="23" t="str">
        <v>D1,D4</v>
      </c>
      <c r="B17" s="23" t="str">
        <v>SMAJ24CA
Bourns</v>
      </c>
      <c r="C17" s="23" t="str">
        <v>SMAJ24CA</v>
      </c>
      <c r="D17" s="28" t="n">
        <v>2</v>
      </c>
      <c r="E17" s="28" t="n">
        <f>CEILING(MAX(ROUNDUP(D17*$B$3*(1+$D$3),0),0),1)</f>
        <v>12</v>
      </c>
      <c r="F17" s="30" t="n">
        <v>0.382</v>
      </c>
      <c r="G17" s="32" t="n">
        <f>IF(ISNUMBER(F17),D17*F17,"")</f>
        <v>0.764</v>
      </c>
      <c r="H17" s="32" t="n">
        <f>IF(ISNUMBER(F17),E17*F17,"")</f>
        <v>4.584</v>
      </c>
      <c r="I17" s="28" t="n">
        <v>48511</v>
      </c>
      <c r="J17" s="23" t="str">
        <f>IF(ISNUMBER(I17),IF(I17&gt;=E17,"Available","Short stock"),"Unconfirmed")</f>
        <v>Available</v>
      </c>
      <c r="K17" s="24" t="str">
        <v>View part</v>
      </c>
    </row>
    <row r="18" ht="32" customHeight="1">
      <c r="A18" s="25" t="str">
        <v>D3</v>
      </c>
      <c r="B18" s="25" t="str">
        <v>STPST10H100SB
STMicroelectronics</v>
      </c>
      <c r="C18" s="25" t="str">
        <v>STPST10H100SB-TR</v>
      </c>
      <c r="D18" s="29" t="n">
        <v>1</v>
      </c>
      <c r="E18" s="29" t="n">
        <f>CEILING(MAX(ROUNDUP(D18*$B$3*(1+$D$3),0),0),1)</f>
        <v>6</v>
      </c>
      <c r="F18" s="31" t="n">
        <v>1.49</v>
      </c>
      <c r="G18" s="33" t="n">
        <f>IF(ISNUMBER(F18),D18*F18,"")</f>
        <v>1.49</v>
      </c>
      <c r="H18" s="33" t="n">
        <f>IF(ISNUMBER(F18),E18*F18,"")</f>
        <v>8.94</v>
      </c>
      <c r="I18" s="29" t="n">
        <v>1082</v>
      </c>
      <c r="J18" s="25" t="str">
        <f>IF(ISNUMBER(I18),IF(I18&gt;=E18,"Available","Short stock"),"Unconfirmed")</f>
        <v>Available</v>
      </c>
      <c r="K18" s="24" t="str">
        <v>View part</v>
      </c>
    </row>
    <row r="19" ht="32" customHeight="1">
      <c r="A19" s="23" t="str">
        <v>D5</v>
      </c>
      <c r="B19" s="23" t="str">
        <v>SMBJ18CA
Bourns</v>
      </c>
      <c r="C19" s="23" t="str">
        <v>SMBJ18CA</v>
      </c>
      <c r="D19" s="28" t="n">
        <v>1</v>
      </c>
      <c r="E19" s="28" t="n">
        <f>CEILING(MAX(ROUNDUP(D19*$B$3*(1+$D$3),0),0),1)</f>
        <v>6</v>
      </c>
      <c r="F19" s="30" t="n">
        <v>0.6</v>
      </c>
      <c r="G19" s="32" t="n">
        <f>IF(ISNUMBER(F19),D19*F19,"")</f>
        <v>0.6</v>
      </c>
      <c r="H19" s="32" t="n">
        <f>IF(ISNUMBER(F19),E19*F19,"")</f>
        <v>3.5999999999999996</v>
      </c>
      <c r="I19" s="28" t="n">
        <v>18090</v>
      </c>
      <c r="J19" s="23" t="str">
        <f>IF(ISNUMBER(I19),IF(I19&gt;=E19,"Available","Short stock"),"Unconfirmed")</f>
        <v>Available</v>
      </c>
      <c r="K19" s="24" t="str">
        <v>View part</v>
      </c>
    </row>
    <row r="20" ht="32" customHeight="1">
      <c r="A20" s="25" t="str">
        <v>F1</v>
      </c>
      <c r="B20" s="25" t="str">
        <v>MINI fuse holder (blade fuse supplied separately)
Keystone</v>
      </c>
      <c r="C20" s="25" t="str">
        <v>3568</v>
      </c>
      <c r="D20" s="29" t="n">
        <v>1</v>
      </c>
      <c r="E20" s="29" t="n">
        <f>CEILING(MAX(ROUNDUP(D20*$B$3*(1+$D$3),0),0),1)</f>
        <v>6</v>
      </c>
      <c r="F20" s="31" t="n">
        <v>1.31</v>
      </c>
      <c r="G20" s="33" t="n">
        <f>IF(ISNUMBER(F20),D20*F20,"")</f>
        <v>1.31</v>
      </c>
      <c r="H20" s="33" t="n">
        <f>IF(ISNUMBER(F20),E20*F20,"")</f>
        <v>7.86</v>
      </c>
      <c r="I20" s="29" t="n">
        <v>107594</v>
      </c>
      <c r="J20" s="25" t="str">
        <f>IF(ISNUMBER(I20),IF(I20&gt;=E20,"Available","Short stock"),"Unconfirmed")</f>
        <v>Available</v>
      </c>
      <c r="K20" s="24" t="str">
        <v>View part</v>
      </c>
    </row>
    <row r="21" ht="32" customHeight="1">
      <c r="A21" s="23" t="str">
        <v>F2</v>
      </c>
      <c r="B21" s="23" t="str">
        <v>UHS 100A 50V
SCHURTER</v>
      </c>
      <c r="C21" s="23" t="str">
        <v>3-140-177</v>
      </c>
      <c r="D21" s="28" t="n">
        <v>1</v>
      </c>
      <c r="E21" s="28" t="n">
        <f>CEILING(MAX(ROUNDUP(D21*$B$3*(1+$D$3),0),0),1)</f>
        <v>6</v>
      </c>
      <c r="F21" s="30" t="n">
        <v>1.074</v>
      </c>
      <c r="G21" s="32" t="n">
        <f>IF(ISNUMBER(F21),D21*F21,"")</f>
        <v>1.074</v>
      </c>
      <c r="H21" s="32" t="n">
        <f>IF(ISNUMBER(F21),E21*F21,"")</f>
        <v>6.444000000000001</v>
      </c>
      <c r="I21" s="28" t="n">
        <v>88</v>
      </c>
      <c r="J21" s="23" t="str">
        <f>IF(ISNUMBER(I21),IF(I21&gt;=E21,"Available","Short stock"),"Unconfirmed")</f>
        <v>Available</v>
      </c>
      <c r="K21" s="24" t="str">
        <v>View part</v>
      </c>
    </row>
    <row r="22" ht="32" customHeight="1">
      <c r="A22" s="25" t="str">
        <v>J2</v>
      </c>
      <c r="B22" s="25" t="str">
        <v>OSIRIS_I2C
JST</v>
      </c>
      <c r="C22" s="25" t="str">
        <v>BM04B-GHS-TBT(LF)(SN)</v>
      </c>
      <c r="D22" s="29" t="n">
        <v>1</v>
      </c>
      <c r="E22" s="29" t="n">
        <f>CEILING(MAX(ROUNDUP(D22*$B$3*(1+$D$3),0),0),1)</f>
        <v>6</v>
      </c>
      <c r="F22" s="31" t="n">
        <v>0.576</v>
      </c>
      <c r="G22" s="33" t="n">
        <f>IF(ISNUMBER(F22),D22*F22,"")</f>
        <v>0.576</v>
      </c>
      <c r="H22" s="33" t="n">
        <f>IF(ISNUMBER(F22),E22*F22,"")</f>
        <v>3.4559999999999995</v>
      </c>
      <c r="I22" s="29" t="n">
        <v>177710</v>
      </c>
      <c r="J22" s="25" t="str">
        <f>IF(ISNUMBER(I22),IF(I22&gt;=E22,"Available","Short stock"),"Unconfirmed")</f>
        <v>Available</v>
      </c>
      <c r="K22" s="24" t="str">
        <v>View part</v>
      </c>
    </row>
    <row r="23" ht="32" customHeight="1">
      <c r="A23" s="23" t="str">
        <v>J1,J3,J4</v>
      </c>
      <c r="B23" s="23" t="str">
        <v>XT60PW-F
AMASS</v>
      </c>
      <c r="C23" s="23" t="str">
        <v>XT60PW-F</v>
      </c>
      <c r="D23" s="28" t="n">
        <v>3</v>
      </c>
      <c r="E23" s="28" t="n">
        <f>CEILING(MAX(ROUNDUP(D23*$B$3*(1+$D$3),0),0),1)</f>
        <v>18</v>
      </c>
      <c r="F23" s="30" t="n">
        <v>0.6464</v>
      </c>
      <c r="G23" s="32" t="n">
        <f>IF(ISNUMBER(F23),D23*F23,"")</f>
        <v>1.9392</v>
      </c>
      <c r="H23" s="32" t="n">
        <f>IF(ISNUMBER(F23),E23*F23,"")</f>
        <v>11.6352</v>
      </c>
      <c r="I23" s="28" t="n">
        <v>35056</v>
      </c>
      <c r="J23" s="23" t="str">
        <f>IF(ISNUMBER(I23),IF(I23&gt;=E23,"Available","Short stock"),"Unconfirmed")</f>
        <v>Available</v>
      </c>
      <c r="K23" s="24" t="str">
        <v>View part</v>
      </c>
    </row>
    <row r="24" ht="32" customHeight="1">
      <c r="A24" s="25" t="str">
        <v>Q1,Q2</v>
      </c>
      <c r="B24" s="25" t="str">
        <v>ISC015N06NM5LF2
Infineon</v>
      </c>
      <c r="C24" s="25" t="str">
        <v>ISC015N06NM5LF2ATMA1</v>
      </c>
      <c r="D24" s="29" t="n">
        <v>2</v>
      </c>
      <c r="E24" s="29" t="n">
        <f>CEILING(MAX(ROUNDUP(D24*$B$3*(1+$D$3),0),0),1)</f>
        <v>12</v>
      </c>
      <c r="F24" s="31" t="n">
        <v>2.828</v>
      </c>
      <c r="G24" s="33" t="n">
        <f>IF(ISNUMBER(F24),D24*F24,"")</f>
        <v>5.656</v>
      </c>
      <c r="H24" s="33" t="n">
        <f>IF(ISNUMBER(F24),E24*F24,"")</f>
        <v>33.936</v>
      </c>
      <c r="I24" s="29" t="n">
        <v>14063</v>
      </c>
      <c r="J24" s="25" t="str">
        <f>IF(ISNUMBER(I24),IF(I24&gt;=E24,"Available","Short stock"),"Unconfirmed")</f>
        <v>Available</v>
      </c>
      <c r="K24" s="24" t="str">
        <v>View part</v>
      </c>
    </row>
    <row r="25" ht="32" customHeight="1">
      <c r="A25" s="23" t="str">
        <v>Q3</v>
      </c>
      <c r="B25" s="23" t="str">
        <v>BSC070N10NS5
Infineon</v>
      </c>
      <c r="C25" s="23" t="str">
        <v>BSC070N10NS5ATMA1</v>
      </c>
      <c r="D25" s="28" t="n">
        <v>1</v>
      </c>
      <c r="E25" s="28" t="n">
        <f>CEILING(MAX(ROUNDUP(D25*$B$3*(1+$D$3),0),0),1)</f>
        <v>6</v>
      </c>
      <c r="F25" s="30" t="n">
        <v>2.32</v>
      </c>
      <c r="G25" s="32" t="n">
        <f>IF(ISNUMBER(F25),D25*F25,"")</f>
        <v>2.32</v>
      </c>
      <c r="H25" s="32" t="n">
        <f>IF(ISNUMBER(F25),E25*F25,"")</f>
        <v>13.919999999999998</v>
      </c>
      <c r="I25" s="28" t="n">
        <v>9617</v>
      </c>
      <c r="J25" s="23" t="str">
        <f>IF(ISNUMBER(I25),IF(I25&gt;=E25,"Available","Short stock"),"Unconfirmed")</f>
        <v>Available</v>
      </c>
      <c r="K25" s="24" t="str">
        <v>View part</v>
      </c>
    </row>
    <row r="26" ht="32" customHeight="1">
      <c r="A26" s="25" t="str">
        <v>R1</v>
      </c>
      <c r="B26" s="25" t="str">
        <v>237k
FOJAN</v>
      </c>
      <c r="C26" s="25" t="str">
        <v>FRC0805F2373TS</v>
      </c>
      <c r="D26" s="29" t="n">
        <v>1</v>
      </c>
      <c r="E26" s="29" t="n">
        <f>CEILING(MAX(MAX($F$3,$H$3*D26*$B$3),0),100)</f>
        <v>100</v>
      </c>
      <c r="F26" s="31" t="n">
        <f>IF(E26&gt;=50000,0.0014,IF(E26&gt;=10000,0.0016,IF(E26&gt;=5000,0.0018,IF(E26&gt;=1000,0.0022,0.0028))))</f>
        <v>0.0028</v>
      </c>
      <c r="G26" s="33" t="n">
        <f>IF(ISNUMBER(F26),D26*F26,"")</f>
        <v>0.0028</v>
      </c>
      <c r="H26" s="33" t="n">
        <f>IF(ISNUMBER(F26),E26*F26,"")</f>
        <v>0.27999999999999997</v>
      </c>
      <c r="I26" s="29" t="n">
        <v>9000</v>
      </c>
      <c r="J26" s="25" t="str">
        <f>IF(ISNUMBER(I26),IF(I26&gt;=E26,"Available","Short stock"),"Unconfirmed")</f>
        <v>Available</v>
      </c>
      <c r="K26" s="24" t="str">
        <v>View part</v>
      </c>
    </row>
    <row r="27" ht="32" customHeight="1">
      <c r="A27" s="23" t="str">
        <v>R2</v>
      </c>
      <c r="B27" s="23" t="str">
        <v>11k8
FOJAN</v>
      </c>
      <c r="C27" s="23" t="str">
        <v>FRC0805F1182TS</v>
      </c>
      <c r="D27" s="28" t="n">
        <v>1</v>
      </c>
      <c r="E27" s="28" t="n">
        <f>CEILING(MAX(MAX($F$3,$H$3*D27*$B$3),0),100)</f>
        <v>100</v>
      </c>
      <c r="F27" s="30" t="n">
        <f>IF(E27&gt;=50000,0.0013,IF(E27&gt;=10000,0.0014,IF(E27&gt;=5000,0.0016,IF(E27&gt;=1000,0.002,0.0025))))</f>
        <v>0.0025</v>
      </c>
      <c r="G27" s="32" t="n">
        <f>IF(ISNUMBER(F27),D27*F27,"")</f>
        <v>0.0025</v>
      </c>
      <c r="H27" s="32" t="n">
        <f>IF(ISNUMBER(F27),E27*F27,"")</f>
        <v>0.25</v>
      </c>
      <c r="I27" s="28" t="n">
        <v>27200</v>
      </c>
      <c r="J27" s="23" t="str">
        <f>IF(ISNUMBER(I27),IF(I27&gt;=E27,"Available","Short stock"),"Unconfirmed")</f>
        <v>Available</v>
      </c>
      <c r="K27" s="24" t="str">
        <v>View part</v>
      </c>
    </row>
    <row r="28" ht="32" customHeight="1">
      <c r="A28" s="25" t="str">
        <v>R3</v>
      </c>
      <c r="B28" s="25" t="str">
        <v>2M0
UNI-ROYAL</v>
      </c>
      <c r="C28" s="25" t="str">
        <v>0805W8F2004T5E</v>
      </c>
      <c r="D28" s="29" t="n">
        <v>1</v>
      </c>
      <c r="E28" s="29" t="n">
        <f>CEILING(MAX(MAX($F$3,$H$3*D28*$B$3),0),100)</f>
        <v>100</v>
      </c>
      <c r="F28" s="31" t="n">
        <v>0.007</v>
      </c>
      <c r="G28" s="33" t="n">
        <f>IF(ISNUMBER(F28),D28*F28,"")</f>
        <v>0.007</v>
      </c>
      <c r="H28" s="33" t="n">
        <f>IF(ISNUMBER(F28),E28*F28,"")</f>
        <v>0.7000000000000001</v>
      </c>
      <c r="I28" s="29" t="n">
        <v>58200</v>
      </c>
      <c r="J28" s="25" t="str">
        <f>IF(ISNUMBER(I28),IF(I28&gt;=E28,"Available","Short stock"),"Unconfirmed")</f>
        <v>Available</v>
      </c>
      <c r="K28" s="24" t="str">
        <v>View part</v>
      </c>
    </row>
    <row r="29" ht="32" customHeight="1">
      <c r="A29" s="23" t="str">
        <v>R4</v>
      </c>
      <c r="B29" s="23" t="str">
        <v>22k
UNI-ROYAL</v>
      </c>
      <c r="C29" s="23" t="str">
        <v>0805W8F2202T5E</v>
      </c>
      <c r="D29" s="28" t="n">
        <v>1</v>
      </c>
      <c r="E29" s="28" t="n">
        <f>CEILING(MAX(MAX($F$3,$H$3*D29*$B$3),0),100)</f>
        <v>100</v>
      </c>
      <c r="F29" s="30" t="n">
        <v>0.0048</v>
      </c>
      <c r="G29" s="32" t="n">
        <f>IF(ISNUMBER(F29),D29*F29,"")</f>
        <v>0.0048</v>
      </c>
      <c r="H29" s="32" t="n">
        <f>IF(ISNUMBER(F29),E29*F29,"")</f>
        <v>0.48</v>
      </c>
      <c r="I29" s="28" t="n">
        <v>1135000</v>
      </c>
      <c r="J29" s="23" t="str">
        <f>IF(ISNUMBER(I29),IF(I29&gt;=E29,"Available","Short stock"),"Unconfirmed")</f>
        <v>Available</v>
      </c>
      <c r="K29" s="24" t="str">
        <v>View part</v>
      </c>
    </row>
    <row r="30" ht="32" customHeight="1">
      <c r="A30" s="25" t="str">
        <v>R5</v>
      </c>
      <c r="B30" s="25" t="str">
        <v>5m
Ohmite</v>
      </c>
      <c r="C30" s="25" t="str">
        <v>FC4L64R005FER</v>
      </c>
      <c r="D30" s="29" t="n">
        <v>1</v>
      </c>
      <c r="E30" s="29" t="n">
        <f>CEILING(MAX(MAX($F$3,$H$3*D30*$B$3),0),1)</f>
        <v>100</v>
      </c>
      <c r="F30" s="31" t="n">
        <v>1.2092</v>
      </c>
      <c r="G30" s="33" t="n">
        <f>IF(ISNUMBER(F30),D30*F30,"")</f>
        <v>1.2092</v>
      </c>
      <c r="H30" s="33" t="n">
        <f>IF(ISNUMBER(F30),E30*F30,"")</f>
        <v>120.92</v>
      </c>
      <c r="I30" s="29" t="n">
        <v>4380</v>
      </c>
      <c r="J30" s="25" t="str">
        <f>IF(ISNUMBER(I30),IF(I30&gt;=E30,"Available","Short stock"),"Unconfirmed")</f>
        <v>Available</v>
      </c>
      <c r="K30" s="24" t="str">
        <v>View part</v>
      </c>
    </row>
    <row r="31" ht="32" customHeight="1">
      <c r="A31" s="23" t="str">
        <v>R6</v>
      </c>
      <c r="B31" s="23" t="str">
        <v>680k
UNI-ROYAL</v>
      </c>
      <c r="C31" s="23" t="str">
        <v>0805W8F6803T5E</v>
      </c>
      <c r="D31" s="28" t="n">
        <v>1</v>
      </c>
      <c r="E31" s="28" t="n">
        <f>CEILING(MAX(MAX($F$3,$H$3*D31*$B$3),0),100)</f>
        <v>100</v>
      </c>
      <c r="F31" s="30" t="n">
        <v>0.0042</v>
      </c>
      <c r="G31" s="32" t="n">
        <f>IF(ISNUMBER(F31),D31*F31,"")</f>
        <v>0.0042</v>
      </c>
      <c r="H31" s="32" t="n">
        <f>IF(ISNUMBER(F31),E31*F31,"")</f>
        <v>0.42</v>
      </c>
      <c r="I31" s="28" t="n">
        <v>61600</v>
      </c>
      <c r="J31" s="23" t="str">
        <f>IF(ISNUMBER(I31),IF(I31&gt;=E31,"Available","Short stock"),"Unconfirmed")</f>
        <v>Available</v>
      </c>
      <c r="K31" s="24" t="str">
        <v>View part</v>
      </c>
    </row>
    <row r="32" ht="32" customHeight="1">
      <c r="A32" s="25" t="str">
        <v>R7</v>
      </c>
      <c r="B32" s="25" t="str">
        <v>200k
UNI-ROYAL</v>
      </c>
      <c r="C32" s="25" t="str">
        <v>0805W8F2003T5E</v>
      </c>
      <c r="D32" s="29" t="n">
        <v>1</v>
      </c>
      <c r="E32" s="29" t="n">
        <f>CEILING(MAX(MAX($F$3,$H$3*D32*$B$3),0),100)</f>
        <v>100</v>
      </c>
      <c r="F32" s="31" t="n">
        <v>0.0056</v>
      </c>
      <c r="G32" s="33" t="n">
        <f>IF(ISNUMBER(F32),D32*F32,"")</f>
        <v>0.0056</v>
      </c>
      <c r="H32" s="33" t="n">
        <f>IF(ISNUMBER(F32),E32*F32,"")</f>
        <v>0.5599999999999999</v>
      </c>
      <c r="I32" s="29" t="n">
        <v>396400</v>
      </c>
      <c r="J32" s="25" t="str">
        <f>IF(ISNUMBER(I32),IF(I32&gt;=E32,"Available","Short stock"),"Unconfirmed")</f>
        <v>Available</v>
      </c>
      <c r="K32" s="24" t="str">
        <v>View part</v>
      </c>
    </row>
    <row r="33" ht="32" customHeight="1">
      <c r="A33" s="23" t="str">
        <v>R8,R9</v>
      </c>
      <c r="B33" s="23" t="str">
        <v>10
UNI-ROYAL</v>
      </c>
      <c r="C33" s="23" t="str">
        <v>0805W8F100JT5E</v>
      </c>
      <c r="D33" s="28" t="n">
        <v>2</v>
      </c>
      <c r="E33" s="28" t="n">
        <f>CEILING(MAX(MAX($F$3,$H$3*D33*$B$3),0),100)</f>
        <v>100</v>
      </c>
      <c r="F33" s="30" t="n">
        <v>0.004</v>
      </c>
      <c r="G33" s="32" t="n">
        <f>IF(ISNUMBER(F33),D33*F33,"")</f>
        <v>0.008</v>
      </c>
      <c r="H33" s="32" t="n">
        <f>IF(ISNUMBER(F33),E33*F33,"")</f>
        <v>0.4</v>
      </c>
      <c r="I33" s="28" t="n">
        <v>4428700</v>
      </c>
      <c r="J33" s="23" t="str">
        <f>IF(ISNUMBER(I33),IF(I33&gt;=E33,"Available","Short stock"),"Unconfirmed")</f>
        <v>Available</v>
      </c>
      <c r="K33" s="24" t="str">
        <v>View part</v>
      </c>
    </row>
    <row r="34" ht="32" customHeight="1">
      <c r="A34" s="25" t="str">
        <v>R10</v>
      </c>
      <c r="B34" s="25" t="str">
        <v>4k7
UNI-ROYAL</v>
      </c>
      <c r="C34" s="25" t="str">
        <v>0805W8F4701T5E</v>
      </c>
      <c r="D34" s="29" t="n">
        <v>1</v>
      </c>
      <c r="E34" s="29" t="n">
        <f>CEILING(MAX(MAX($F$3,$H$3*D34*$B$3),0),100)</f>
        <v>100</v>
      </c>
      <c r="F34" s="31" t="n">
        <v>0.0051</v>
      </c>
      <c r="G34" s="33" t="n">
        <f>IF(ISNUMBER(F34),D34*F34,"")</f>
        <v>0.0051</v>
      </c>
      <c r="H34" s="33" t="n">
        <f>IF(ISNUMBER(F34),E34*F34,"")</f>
        <v>0.51</v>
      </c>
      <c r="I34" s="29" t="n">
        <v>1225400</v>
      </c>
      <c r="J34" s="25" t="str">
        <f>IF(ISNUMBER(I34),IF(I34&gt;=E34,"Available","Short stock"),"Unconfirmed")</f>
        <v>Available</v>
      </c>
      <c r="K34" s="24" t="str">
        <v>View part</v>
      </c>
    </row>
    <row r="35" ht="32" customHeight="1">
      <c r="A35" s="23" t="str">
        <v>R11</v>
      </c>
      <c r="B35" s="23" t="str">
        <v>1.58 kOhm 0.1%
RESI</v>
      </c>
      <c r="C35" s="23" t="str">
        <v>PTFR0805B1K58P9</v>
      </c>
      <c r="D35" s="28" t="n">
        <v>1</v>
      </c>
      <c r="E35" s="28" t="n">
        <f>CEILING(MAX(MAX($F$3,$H$3*D35*$B$3),0),5)</f>
        <v>100</v>
      </c>
      <c r="F35" s="30" t="n">
        <f>IF(E35&gt;=5000,0.0798,IF(E35&gt;=2500,0.0844,IF(E35&gt;=500,0.1029,IF(E35&gt;=150,0.1144,IF(E35&gt;=50,0.1298,0.1607)))))</f>
        <v>0.1298</v>
      </c>
      <c r="G35" s="32" t="n">
        <f>IF(ISNUMBER(F35),D35*F35,"")</f>
        <v>0.1298</v>
      </c>
      <c r="H35" s="32" t="n">
        <f>IF(ISNUMBER(F35),E35*F35,"")</f>
        <v>12.98</v>
      </c>
      <c r="I35" s="28" t="n">
        <v>4805</v>
      </c>
      <c r="J35" s="23" t="str">
        <f>IF(ISNUMBER(I35),IF(I35&gt;=E35,"Available","Short stock"),"Unconfirmed")</f>
        <v>Available</v>
      </c>
      <c r="K35" s="24" t="str">
        <v>View part</v>
      </c>
    </row>
    <row r="36" ht="32" customHeight="1">
      <c r="A36" s="25" t="str">
        <v>R12</v>
      </c>
      <c r="B36" s="25" t="str">
        <v>1k0
UNI-ROYAL</v>
      </c>
      <c r="C36" s="25" t="str">
        <v>0805W8F1001T5E</v>
      </c>
      <c r="D36" s="29" t="n">
        <v>1</v>
      </c>
      <c r="E36" s="29" t="n">
        <f>CEILING(MAX(MAX($F$3,$H$3*D36*$B$3),0),100)</f>
        <v>100</v>
      </c>
      <c r="F36" s="31" t="n">
        <v>0.0041</v>
      </c>
      <c r="G36" s="33" t="n">
        <f>IF(ISNUMBER(F36),D36*F36,"")</f>
        <v>0.0041</v>
      </c>
      <c r="H36" s="33" t="n">
        <f>IF(ISNUMBER(F36),E36*F36,"")</f>
        <v>0.41000000000000003</v>
      </c>
      <c r="I36" s="29" t="n">
        <v>38064100</v>
      </c>
      <c r="J36" s="25" t="str">
        <f>IF(ISNUMBER(I36),IF(I36&gt;=E36,"Available","Short stock"),"Unconfirmed")</f>
        <v>Available</v>
      </c>
      <c r="K36" s="24" t="str">
        <v>View part</v>
      </c>
    </row>
    <row r="37" ht="32" customHeight="1">
      <c r="A37" s="23" t="str">
        <v>R13</v>
      </c>
      <c r="B37" s="23" t="str">
        <v>54k9
UNI-ROYAL</v>
      </c>
      <c r="C37" s="23" t="str">
        <v>0805W8F5492T5E</v>
      </c>
      <c r="D37" s="28" t="n">
        <v>1</v>
      </c>
      <c r="E37" s="28" t="n">
        <f>CEILING(MAX(MAX($F$3,$H$3*D37*$B$3),0),100)</f>
        <v>100</v>
      </c>
      <c r="F37" s="30" t="n">
        <f>IF(E37&gt;=50000,0.002,IF(E37&gt;=10000,0.0023,IF(E37&gt;=5000,0.0025,IF(E37&gt;=1000,0.003,0.0038))))</f>
        <v>0.0038</v>
      </c>
      <c r="G37" s="32" t="n">
        <f>IF(ISNUMBER(F37),D37*F37,"")</f>
        <v>0.0038</v>
      </c>
      <c r="H37" s="32" t="n">
        <f>IF(ISNUMBER(F37),E37*F37,"")</f>
        <v>0.38</v>
      </c>
      <c r="I37" s="28" t="n">
        <v>7000</v>
      </c>
      <c r="J37" s="23" t="str">
        <f>IF(ISNUMBER(I37),IF(I37&gt;=E37,"Available","Short stock"),"Unconfirmed")</f>
        <v>Available</v>
      </c>
      <c r="K37" s="24" t="str">
        <v>View part</v>
      </c>
    </row>
    <row r="38" ht="32" customHeight="1">
      <c r="A38" s="25" t="str">
        <v>R14</v>
      </c>
      <c r="B38" s="25" t="str">
        <v>22M
FOJAN</v>
      </c>
      <c r="C38" s="25" t="str">
        <v>FRG0805J226TS</v>
      </c>
      <c r="D38" s="29" t="n">
        <v>1</v>
      </c>
      <c r="E38" s="29" t="n">
        <f>CEILING(MAX(MAX($F$3,$H$3*D38*$B$3),0),100)</f>
        <v>100</v>
      </c>
      <c r="F38" s="31" t="n">
        <f>IF(E38&gt;=50000,0.002,IF(E38&gt;=10000,0.0022,IF(E38&gt;=5000,0.0024,IF(E38&gt;=1000,0.0029,0.0037))))</f>
        <v>0.0037</v>
      </c>
      <c r="G38" s="33" t="n">
        <f>IF(ISNUMBER(F38),D38*F38,"")</f>
        <v>0.0037</v>
      </c>
      <c r="H38" s="33" t="n">
        <f>IF(ISNUMBER(F38),E38*F38,"")</f>
        <v>0.37</v>
      </c>
      <c r="I38" s="29" t="n">
        <v>207600</v>
      </c>
      <c r="J38" s="25" t="str">
        <f>IF(ISNUMBER(I38),IF(I38&gt;=E38,"Available","Short stock"),"Unconfirmed")</f>
        <v>Available</v>
      </c>
      <c r="K38" s="24" t="str">
        <v>View part</v>
      </c>
    </row>
    <row r="39" ht="32" customHeight="1">
      <c r="A39" s="23" t="str">
        <v>R15,R16</v>
      </c>
      <c r="B39" s="23" t="str">
        <v>10k
UNI-ROYAL</v>
      </c>
      <c r="C39" s="23" t="str">
        <v>0805W8F1002T5E</v>
      </c>
      <c r="D39" s="28" t="n">
        <v>2</v>
      </c>
      <c r="E39" s="28" t="n">
        <f>CEILING(MAX(MAX($F$3,$H$3*D39*$B$3),0),100)</f>
        <v>100</v>
      </c>
      <c r="F39" s="30" t="n">
        <v>0.0034</v>
      </c>
      <c r="G39" s="32" t="n">
        <f>IF(ISNUMBER(F39),D39*F39,"")</f>
        <v>0.0068</v>
      </c>
      <c r="H39" s="32" t="n">
        <f>IF(ISNUMBER(F39),E39*F39,"")</f>
        <v>0.33999999999999997</v>
      </c>
      <c r="I39" s="28" t="n">
        <v>45790000</v>
      </c>
      <c r="J39" s="23" t="str">
        <f>IF(ISNUMBER(I39),IF(I39&gt;=E39,"Available","Short stock"),"Unconfirmed")</f>
        <v>Available</v>
      </c>
      <c r="K39" s="24" t="str">
        <v>View part</v>
      </c>
    </row>
    <row r="40" ht="32" customHeight="1">
      <c r="A40" s="25" t="str">
        <v>R19</v>
      </c>
      <c r="B40" s="25" t="str">
        <v>1k
Vishay</v>
      </c>
      <c r="C40" s="25" t="str">
        <v>CRCW25121K00FKEGHP</v>
      </c>
      <c r="D40" s="29" t="n">
        <v>1</v>
      </c>
      <c r="E40" s="29" t="n">
        <f>CEILING(MAX(MAX($F$3,$H$3*D40*$B$3),0),1)</f>
        <v>100</v>
      </c>
      <c r="F40" s="31" t="n">
        <v>0.3296</v>
      </c>
      <c r="G40" s="33" t="n">
        <f>IF(ISNUMBER(F40),D40*F40,"")</f>
        <v>0.3296</v>
      </c>
      <c r="H40" s="33" t="n">
        <f>IF(ISNUMBER(F40),E40*F40,"")</f>
        <v>32.96</v>
      </c>
      <c r="I40" s="29" t="n">
        <v>8500</v>
      </c>
      <c r="J40" s="25" t="str">
        <f>IF(ISNUMBER(I40),IF(I40&gt;=E40,"Available","Short stock"),"Unconfirmed")</f>
        <v>Available</v>
      </c>
      <c r="K40" s="24" t="str">
        <v>View part</v>
      </c>
    </row>
    <row r="41" ht="32" customHeight="1">
      <c r="A41" s="23" t="str">
        <v>R20</v>
      </c>
      <c r="B41" s="23" t="str">
        <v>1
Vishay</v>
      </c>
      <c r="C41" s="23" t="str">
        <v>CRCW25121R00FKEGHP</v>
      </c>
      <c r="D41" s="28" t="n">
        <v>1</v>
      </c>
      <c r="E41" s="28" t="n">
        <f>CEILING(MAX(MAX($F$3,$H$3*D41*$B$3),0),1)</f>
        <v>100</v>
      </c>
      <c r="F41" s="30" t="n">
        <v>0.4322</v>
      </c>
      <c r="G41" s="32" t="n">
        <f>IF(ISNUMBER(F41),D41*F41,"")</f>
        <v>0.4322</v>
      </c>
      <c r="H41" s="32" t="n">
        <f>IF(ISNUMBER(F41),E41*F41,"")</f>
        <v>43.22</v>
      </c>
      <c r="I41" s="28" t="n">
        <v>14448</v>
      </c>
      <c r="J41" s="23" t="str">
        <f>IF(ISNUMBER(I41),IF(I41&gt;=E41,"Available","Short stock"),"Unconfirmed")</f>
        <v>Available</v>
      </c>
      <c r="K41" s="24" t="str">
        <v>View part</v>
      </c>
    </row>
    <row r="42" ht="32" customHeight="1">
      <c r="A42" s="25" t="str">
        <v>R21</v>
      </c>
      <c r="B42" s="25" t="str">
        <v>100
UNI-ROYAL</v>
      </c>
      <c r="C42" s="25" t="str">
        <v>0805W8F1000T5E</v>
      </c>
      <c r="D42" s="29" t="n">
        <v>1</v>
      </c>
      <c r="E42" s="29" t="n">
        <f>CEILING(MAX(MAX($F$3,$H$3*D42*$B$3),0),100)</f>
        <v>100</v>
      </c>
      <c r="F42" s="31" t="n">
        <v>0.0043</v>
      </c>
      <c r="G42" s="33" t="n">
        <f>IF(ISNUMBER(F42),D42*F42,"")</f>
        <v>0.0043</v>
      </c>
      <c r="H42" s="33" t="n">
        <f>IF(ISNUMBER(F42),E42*F42,"")</f>
        <v>0.43</v>
      </c>
      <c r="I42" s="29" t="n">
        <v>6466800</v>
      </c>
      <c r="J42" s="25" t="str">
        <f>IF(ISNUMBER(I42),IF(I42&gt;=E42,"Available","Short stock"),"Unconfirmed")</f>
        <v>Available</v>
      </c>
      <c r="K42" s="24" t="str">
        <v>View part</v>
      </c>
    </row>
    <row r="43" ht="32" customHeight="1">
      <c r="A43" s="23" t="str">
        <v>U1</v>
      </c>
      <c r="B43" s="23" t="str">
        <v>LTC4368HMS-1-PBF
Analog Devices</v>
      </c>
      <c r="C43" s="23" t="str">
        <v>LTC4368HMS-1#WTRPBF</v>
      </c>
      <c r="D43" s="28" t="n">
        <v>1</v>
      </c>
      <c r="E43" s="28" t="n">
        <f>CEILING(MAX(ROUNDUP(D43*$B$3*(1+$D$3),0),0),1)</f>
        <v>6</v>
      </c>
      <c r="F43" s="30" t="n">
        <v>9.9</v>
      </c>
      <c r="G43" s="32" t="n">
        <f>IF(ISNUMBER(F43),D43*F43,"")</f>
        <v>9.9</v>
      </c>
      <c r="H43" s="32" t="n">
        <f>IF(ISNUMBER(F43),E43*F43,"")</f>
        <v>59.400000000000006</v>
      </c>
      <c r="I43" s="28" t="n">
        <v>10</v>
      </c>
      <c r="J43" s="23" t="str">
        <f>IF(ISNUMBER(I43),IF(I43&gt;=E43,"Available","Short stock"),"Unconfirmed")</f>
        <v>Available</v>
      </c>
      <c r="K43" s="24" t="str">
        <v>View part</v>
      </c>
    </row>
    <row r="44" ht="32" customHeight="1">
      <c r="A44" s="25" t="str">
        <v>U2</v>
      </c>
      <c r="B44" s="25" t="str">
        <v>INA238AIDGSR
Texas Instruments</v>
      </c>
      <c r="C44" s="25" t="str">
        <v>INA238AIDGSR</v>
      </c>
      <c r="D44" s="29" t="n">
        <v>1</v>
      </c>
      <c r="E44" s="29" t="n">
        <f>CEILING(MAX(ROUNDUP(D44*$B$3*(1+$D$3),0),0),1)</f>
        <v>6</v>
      </c>
      <c r="F44" s="31" t="n">
        <f>IF(E44&gt;=100,6.3058,IF(E44&gt;=30,6.8099,IF(E44&gt;=10,7.4125,8.4027)))</f>
        <v>8.4027</v>
      </c>
      <c r="G44" s="33" t="n">
        <f>IF(ISNUMBER(F44),D44*F44,"")</f>
        <v>8.4027</v>
      </c>
      <c r="H44" s="33" t="n">
        <f>IF(ISNUMBER(F44),E44*F44,"")</f>
        <v>50.416199999999996</v>
      </c>
      <c r="I44" s="29" t="n">
        <v>333</v>
      </c>
      <c r="J44" s="25" t="str">
        <f>IF(ISNUMBER(I44),IF(I44&gt;=E44,"Available","Short stock"),"Unconfirmed")</f>
        <v>Available</v>
      </c>
      <c r="K44" s="24" t="str">
        <v>View part</v>
      </c>
    </row>
    <row r="45" ht="32" customHeight="1">
      <c r="A45" s="23" t="str">
        <v>U3</v>
      </c>
      <c r="B45" s="23" t="str">
        <v>LT3010EMS8E
Analog Devices</v>
      </c>
      <c r="C45" s="23" t="str">
        <v>LT3010EMS8E#TRPBF</v>
      </c>
      <c r="D45" s="28" t="n">
        <v>1</v>
      </c>
      <c r="E45" s="28" t="n">
        <f>CEILING(MAX(ROUNDUP(D45*$B$3*(1+$D$3),0),0),1)</f>
        <v>6</v>
      </c>
      <c r="F45" s="30" t="n">
        <v>6.45</v>
      </c>
      <c r="G45" s="32" t="n">
        <f>IF(ISNUMBER(F45),D45*F45,"")</f>
        <v>6.45</v>
      </c>
      <c r="H45" s="32" t="n">
        <f>IF(ISNUMBER(F45),E45*F45,"")</f>
        <v>38.7</v>
      </c>
      <c r="I45" s="28" t="n">
        <v>4123</v>
      </c>
      <c r="J45" s="23" t="str">
        <f>IF(ISNUMBER(I45),IF(I45&gt;=E45,"Available","Short stock"),"Unconfirmed")</f>
        <v>Available</v>
      </c>
      <c r="K45" s="24" t="str">
        <v>View part</v>
      </c>
    </row>
    <row r="46" ht="32" customHeight="1">
      <c r="A46" s="25" t="str">
        <v>U4</v>
      </c>
      <c r="B46" s="25" t="str">
        <v>74AUP1G07GW
Nexperia</v>
      </c>
      <c r="C46" s="25" t="str">
        <v>74AUP1G07GW,125</v>
      </c>
      <c r="D46" s="29" t="n">
        <v>1</v>
      </c>
      <c r="E46" s="29" t="n">
        <f>CEILING(MAX(ROUNDUP(D46*$B$3*(1+$D$3),0),0),1)</f>
        <v>6</v>
      </c>
      <c r="F46" s="31" t="n">
        <v>0.19</v>
      </c>
      <c r="G46" s="33" t="n">
        <f>IF(ISNUMBER(F46),D46*F46,"")</f>
        <v>0.19</v>
      </c>
      <c r="H46" s="33" t="n">
        <f>IF(ISNUMBER(F46),E46*F46,"")</f>
        <v>1.1400000000000001</v>
      </c>
      <c r="I46" s="29" t="n">
        <v>10686</v>
      </c>
      <c r="J46" s="25" t="str">
        <f>IF(ISNUMBER(I46),IF(I46&gt;=E46,"Available","Short stock"),"Unconfirmed")</f>
        <v>Available</v>
      </c>
      <c r="K46" s="24" t="str">
        <v>View part</v>
      </c>
    </row>
    <row r="47" ht="32" customHeight="1">
      <c r="A47" s="23" t="str">
        <v>U5</v>
      </c>
      <c r="B47" s="23" t="str">
        <v>LTC4359IMS8
Analog Devices</v>
      </c>
      <c r="C47" s="23" t="str">
        <v>LTC4359IMS8#TRPBF</v>
      </c>
      <c r="D47" s="28" t="n">
        <v>1</v>
      </c>
      <c r="E47" s="28" t="n">
        <f>CEILING(MAX(ROUNDUP(D47*$B$3*(1+$D$3),0),0),1)</f>
        <v>6</v>
      </c>
      <c r="F47" s="30" t="n">
        <v>9.51</v>
      </c>
      <c r="G47" s="32" t="n">
        <f>IF(ISNUMBER(F47),D47*F47,"")</f>
        <v>9.51</v>
      </c>
      <c r="H47" s="32" t="n">
        <f>IF(ISNUMBER(F47),E47*F47,"")</f>
        <v>57.06</v>
      </c>
      <c r="I47" s="28" t="n">
        <v>6425</v>
      </c>
      <c r="J47" s="23" t="str">
        <f>IF(ISNUMBER(I47),IF(I47&gt;=E47,"Available","Short stock"),"Unconfirmed")</f>
        <v>Available</v>
      </c>
      <c r="K47" s="24" t="str">
        <v>View part</v>
      </c>
    </row>
    <row r="48" ht="32" customHeight="1">
      <c r="A48" s="25" t="str">
        <v>F1 fuse insert</v>
      </c>
      <c r="B48" s="25" t="str">
        <v>7.5 A MINI blade fuse
Littelfuse</v>
      </c>
      <c r="C48" s="25" t="str">
        <v>029707.5WXNV</v>
      </c>
      <c r="D48" s="29" t="n">
        <v>1</v>
      </c>
      <c r="E48" s="29" t="n">
        <f>CEILING(MAX(ROUNDUP(D48*$B$3*(1+$D$3),0),0),1)</f>
        <v>6</v>
      </c>
      <c r="F48" s="31" t="n">
        <v>0.326</v>
      </c>
      <c r="G48" s="33" t="n">
        <f>IF(ISNUMBER(F48),D48*F48,"")</f>
        <v>0.326</v>
      </c>
      <c r="H48" s="33" t="n">
        <f>IF(ISNUMBER(F48),E48*F48,"")</f>
        <v>1.956</v>
      </c>
      <c r="I48" s="29" t="n">
        <v>42351</v>
      </c>
      <c r="J48" s="25" t="str">
        <f>IF(ISNUMBER(I48),IF(I48&gt;=E48,"Available","Short stock"),"Unconfirmed")</f>
        <v>Available</v>
      </c>
      <c r="K48" s="24" t="str">
        <v>View part</v>
      </c>
    </row>
    <row r="49" ht="24" customHeight="1">
      <c r="A49" s="36" t="str">
        <v>Parts totals (known / estimated)</v>
      </c>
      <c r="B49" s="36"/>
      <c r="C49" s="36"/>
      <c r="D49" s="36"/>
      <c r="E49" s="36"/>
      <c r="F49" s="36"/>
      <c r="G49" s="37" t="n">
        <f>SUM(G9:G48)</f>
        <v>57.84179999999999</v>
      </c>
      <c r="H49" s="37" t="n">
        <f>SUM(H9:H48)</f>
        <v>788.8374</v>
      </c>
      <c r="I49" s="36"/>
      <c r="J49" s="36"/>
      <c r="K49" s="36"/>
    </row>
    <row r="50" ht="20" customHeight="1">
      <c r="A50" s="2" t="str">
        <v>Unit cost = price per component. Fitted / PCB excludes spares. Order cost includes PnP spares and pack rounding.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0" customHeight="1">
      <c r="A51" s="2" t="str">
        <v>C17/C20 form a 440 uF / 50 V bank. F1 holder and fuse are separate. Film capacitors require manual insertion.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2" customHeight="1">
      <c r="A52" s="2" t="str">
        <v>Enter full five-board quotes below. Enter 0 only when confirmed free or included elsewhere.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4" customHeight="1">
      <c r="A53" s="15" t="str">
        <v>BUILD COSTS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ht="23" customHeight="1">
      <c r="A54" s="36" t="str">
        <v>Cost item</v>
      </c>
      <c r="B54" s="36"/>
      <c r="C54" s="36"/>
      <c r="D54" s="36"/>
      <c r="E54" s="36" t="str">
        <v>Basis / scope</v>
      </c>
      <c r="F54" s="36"/>
      <c r="G54" s="36"/>
      <c r="H54" s="36"/>
      <c r="I54" s="36" t="str">
        <v>Batch quote USD</v>
      </c>
      <c r="J54" s="36"/>
      <c r="K54" s="36" t="str">
        <v>Status</v>
      </c>
    </row>
    <row r="55" ht="22" customHeight="1">
      <c r="A55" s="2" t="str">
        <v>PCB fabrication</v>
      </c>
      <c r="B55" s="2"/>
      <c r="C55" s="2"/>
      <c r="D55" s="2"/>
      <c r="E55" s="2" t="str">
        <v>Five bare boards</v>
      </c>
      <c r="F55" s="2"/>
      <c r="G55" s="2"/>
      <c r="H55" s="2"/>
      <c r="I55" s="39"/>
      <c r="J55" s="5"/>
      <c r="K55" s="2" t="str">
        <f>IF(ISNUMBER(I55),"Entered","Quote needed")</f>
        <v>Quote needed</v>
      </c>
    </row>
    <row r="56" ht="22" customHeight="1">
      <c r="A56" s="2" t="str">
        <v>PnP / assembly labor</v>
      </c>
      <c r="B56" s="2"/>
      <c r="C56" s="2"/>
      <c r="D56" s="2"/>
      <c r="E56" s="2" t="str">
        <v>All five boards, including manual / THT work</v>
      </c>
      <c r="F56" s="2"/>
      <c r="G56" s="2"/>
      <c r="H56" s="2"/>
      <c r="I56" s="39"/>
      <c r="J56" s="5"/>
      <c r="K56" s="2" t="str">
        <f>IF(ISNUMBER(I56),"Entered","Quote needed")</f>
        <v>Quote needed</v>
      </c>
    </row>
    <row r="57" ht="22" customHeight="1">
      <c r="A57" s="2" t="str">
        <v>Stencil</v>
      </c>
      <c r="B57" s="2"/>
      <c r="C57" s="2"/>
      <c r="D57" s="2"/>
      <c r="E57" s="2" t="str">
        <v>Stencil and frame</v>
      </c>
      <c r="F57" s="2"/>
      <c r="G57" s="2"/>
      <c r="H57" s="2"/>
      <c r="I57" s="39"/>
      <c r="J57" s="5"/>
      <c r="K57" s="2" t="str">
        <f>IF(ISNUMBER(I57),"Entered","Quote needed")</f>
        <v>Quote needed</v>
      </c>
    </row>
    <row r="58" ht="22" customHeight="1">
      <c r="A58" s="2" t="str">
        <v>Paste and consumables</v>
      </c>
      <c r="B58" s="2"/>
      <c r="C58" s="2"/>
      <c r="D58" s="2"/>
      <c r="E58" s="2" t="str">
        <v>Solder paste, solder and cleaning supplies</v>
      </c>
      <c r="F58" s="2"/>
      <c r="G58" s="2"/>
      <c r="H58" s="2"/>
      <c r="I58" s="39"/>
      <c r="J58" s="5"/>
      <c r="K58" s="2" t="str">
        <f>IF(ISNUMBER(I58),"Entered","Quote needed")</f>
        <v>Quote needed</v>
      </c>
    </row>
    <row r="59" ht="22" customHeight="1">
      <c r="A59" s="2" t="str">
        <v>Setup and programming</v>
      </c>
      <c r="B59" s="2"/>
      <c r="C59" s="2"/>
      <c r="D59" s="2"/>
      <c r="E59" s="2" t="str">
        <v>Machine setup, feeders and programming</v>
      </c>
      <c r="F59" s="2"/>
      <c r="G59" s="2"/>
      <c r="H59" s="2"/>
      <c r="I59" s="39"/>
      <c r="J59" s="5"/>
      <c r="K59" s="2" t="str">
        <f>IF(ISNUMBER(I59),"Entered","Quote needed")</f>
        <v>Quote needed</v>
      </c>
    </row>
    <row r="60" ht="22" customHeight="1">
      <c r="A60" s="2" t="str">
        <v>Reel / tape preparation</v>
      </c>
      <c r="B60" s="2"/>
      <c r="C60" s="2"/>
      <c r="D60" s="2"/>
      <c r="E60" s="2" t="str">
        <v>Reels, tape leaders and component handling</v>
      </c>
      <c r="F60" s="2"/>
      <c r="G60" s="2"/>
      <c r="H60" s="2"/>
      <c r="I60" s="39"/>
      <c r="J60" s="5"/>
      <c r="K60" s="2" t="str">
        <f>IF(ISNUMBER(I60),"Entered","Quote needed")</f>
        <v>Quote needed</v>
      </c>
    </row>
    <row r="61" ht="22" customHeight="1">
      <c r="A61" s="2" t="str">
        <v>Shipping</v>
      </c>
      <c r="B61" s="2"/>
      <c r="C61" s="2"/>
      <c r="D61" s="2"/>
      <c r="E61" s="2" t="str">
        <v>Parts and PCB delivery</v>
      </c>
      <c r="F61" s="2"/>
      <c r="G61" s="2"/>
      <c r="H61" s="2"/>
      <c r="I61" s="39"/>
      <c r="J61" s="5"/>
      <c r="K61" s="2" t="str">
        <f>IF(ISNUMBER(I61),"Entered","Quote needed")</f>
        <v>Quote needed</v>
      </c>
    </row>
    <row r="62" ht="22" customHeight="1">
      <c r="A62" s="2" t="str">
        <v>Taxes and duties</v>
      </c>
      <c r="B62" s="2"/>
      <c r="C62" s="2"/>
      <c r="D62" s="2"/>
      <c r="E62" s="2" t="str">
        <v>Sales tax, import duty and tariffs</v>
      </c>
      <c r="F62" s="2"/>
      <c r="G62" s="2"/>
      <c r="H62" s="2"/>
      <c r="I62" s="39"/>
      <c r="J62" s="5"/>
      <c r="K62" s="2" t="str">
        <f>IF(ISNUMBER(I62),"Entered","Quote needed")</f>
        <v>Quote needed</v>
      </c>
    </row>
    <row r="63" ht="22" customHeight="1">
      <c r="A63" s="2" t="str">
        <v>Testing / inspection</v>
      </c>
      <c r="B63" s="2"/>
      <c r="C63" s="2"/>
      <c r="D63" s="2"/>
      <c r="E63" s="2" t="str">
        <v>Inspection, testing and rework allowance</v>
      </c>
      <c r="F63" s="2"/>
      <c r="G63" s="2"/>
      <c r="H63" s="2"/>
      <c r="I63" s="39"/>
      <c r="J63" s="5"/>
      <c r="K63" s="2" t="str">
        <f>IF(ISNUMBER(I63),"Entered","Quote needed")</f>
        <v>Quote needed</v>
      </c>
    </row>
    <row r="64" ht="22" customHeight="1">
      <c r="A64" s="2" t="str">
        <v>Other costs</v>
      </c>
      <c r="B64" s="2"/>
      <c r="C64" s="2"/>
      <c r="D64" s="2"/>
      <c r="E64" s="2" t="str">
        <v>Enter any remaining quoted expense</v>
      </c>
      <c r="F64" s="2"/>
      <c r="G64" s="2"/>
      <c r="H64" s="2"/>
      <c r="I64" s="39"/>
      <c r="J64" s="5"/>
      <c r="K64" s="2" t="str">
        <f>IF(ISNUMBER(I64),"Entered","Quote needed")</f>
        <v>Quote needed</v>
      </c>
    </row>
    <row r="65" ht="25" customHeight="1">
      <c r="A65" s="36" t="str">
        <v>Known budget subtotal (parts plus entered service quotes)</v>
      </c>
      <c r="B65" s="36"/>
      <c r="C65" s="36"/>
      <c r="D65" s="36"/>
      <c r="E65" s="36"/>
      <c r="F65" s="36"/>
      <c r="G65" s="36"/>
      <c r="H65" s="37" t="n">
        <f>SUM(H9:H48)+SUM(I55:I64)</f>
        <v>788.8374</v>
      </c>
      <c r="I65" s="36"/>
      <c r="J65" s="36"/>
      <c r="K65" s="36"/>
    </row>
    <row r="66" ht="25" customHeight="1">
      <c r="A66" s="36" t="str">
        <v>Full five-board build cost (including procurement spares)</v>
      </c>
      <c r="B66" s="36"/>
      <c r="C66" s="36"/>
      <c r="D66" s="36"/>
      <c r="E66" s="36"/>
      <c r="F66" s="36"/>
      <c r="G66" s="36"/>
      <c r="H66" s="36"/>
      <c r="I66" s="36"/>
      <c r="J66" s="36"/>
      <c r="K66" s="37" t="str">
        <f>IF(COUNT(F9:F48)+COUNT(I55:I64)=50,H65,"Quote needed")</f>
        <v>Quote needed</v>
      </c>
    </row>
    <row r="67" ht="25" customHeight="1">
      <c r="A67" s="36" t="str">
        <v>All-in cost per assembled board (full build cost ÷ board quantity)</v>
      </c>
      <c r="B67" s="36"/>
      <c r="C67" s="36"/>
      <c r="D67" s="36"/>
      <c r="E67" s="36"/>
      <c r="F67" s="36"/>
      <c r="G67" s="36"/>
      <c r="H67" s="36"/>
      <c r="I67" s="36"/>
      <c r="J67" s="36"/>
      <c r="K67" s="37" t="str">
        <f>IF(ISNUMBER(K66),K66/$B$3,"Quote needed")</f>
        <v>Quote needed</v>
      </c>
    </row>
    <row r="68" ht="20" customHeight="1">
      <c r="A68" s="2" t="str">
        <v>Full cost remains pending until every part price and service quote is entered. Stock shortages remain separate.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20" customHeight="1">
      <c r="A69" s="2" t="str">
        <v>Assembly labor / board shows labor only. All-in / assembled board includes the complete purchasing and service budget.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2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</sheetData>
  <mergeCells>
    <mergeCell ref="A1:K1"/>
    <mergeCell ref="A2:K2"/>
    <mergeCell ref="I3:K3"/>
    <mergeCell ref="A4:K4"/>
    <mergeCell ref="A5:C5"/>
    <mergeCell ref="D5:E5"/>
    <mergeCell ref="F5:G5"/>
    <mergeCell ref="I5:J5"/>
    <mergeCell ref="A6:C6"/>
    <mergeCell ref="D6:E6"/>
    <mergeCell ref="F6:G6"/>
    <mergeCell ref="I6:J6"/>
    <mergeCell ref="A7:K7"/>
    <mergeCell ref="A49:F49"/>
    <mergeCell ref="A50:K50"/>
    <mergeCell ref="A51:K51"/>
    <mergeCell ref="A52:K52"/>
    <mergeCell ref="A53:K53"/>
    <mergeCell ref="A54:D54"/>
    <mergeCell ref="E54:H54"/>
    <mergeCell ref="I54:J54"/>
    <mergeCell ref="A55:D55"/>
    <mergeCell ref="E55:H55"/>
    <mergeCell ref="I55:J55"/>
    <mergeCell ref="A56:D56"/>
    <mergeCell ref="E56:H56"/>
    <mergeCell ref="I56:J56"/>
    <mergeCell ref="A57:D57"/>
    <mergeCell ref="E57:H57"/>
    <mergeCell ref="I57:J57"/>
    <mergeCell ref="A58:D58"/>
    <mergeCell ref="E58:H58"/>
    <mergeCell ref="I58:J58"/>
    <mergeCell ref="A59:D59"/>
    <mergeCell ref="E59:H59"/>
    <mergeCell ref="I59:J59"/>
    <mergeCell ref="A60:D60"/>
    <mergeCell ref="E60:H60"/>
    <mergeCell ref="I60:J60"/>
    <mergeCell ref="A61:D61"/>
    <mergeCell ref="E61:H61"/>
    <mergeCell ref="I61:J61"/>
    <mergeCell ref="A62:D62"/>
    <mergeCell ref="E62:H62"/>
    <mergeCell ref="I62:J62"/>
    <mergeCell ref="A63:D63"/>
    <mergeCell ref="E63:H63"/>
    <mergeCell ref="I63:J63"/>
    <mergeCell ref="A64:D64"/>
    <mergeCell ref="E64:H64"/>
    <mergeCell ref="I64:J64"/>
    <mergeCell ref="A65:G65"/>
    <mergeCell ref="H65:K65"/>
    <mergeCell ref="A66:J66"/>
    <mergeCell ref="A67:J67"/>
    <mergeCell ref="A68:K68"/>
    <mergeCell ref="A69:K69"/>
  </mergeCells>
  <conditionalFormatting sqref="J9:J48">
    <cfRule type="containsText" dxfId="0" priority="1" operator="containsText" text="Short stock"/>
    <cfRule type="containsText" dxfId="1" priority="2" operator="containsText" text="Unconfirmed"/>
  </conditionalFormatting>
  <conditionalFormatting sqref="F9:F48">
    <cfRule type="containsBlanks" dxfId="2" priority="3"/>
  </conditionalFormatting>
  <dataValidations count="1">
    <dataValidation type="whole" operator="greaterThan" sqref="B3">
      <formula1>0</formula1>
    </dataValidation>
  </dataValidations>
  <hyperlinks>
    <hyperlink ref="K9" r:id="purchase0" display="View part" tooltip="Open DigiKey part page"/>
    <hyperlink ref="K10" r:id="purchase1" display="View part" tooltip="Open LCSC part page"/>
    <hyperlink ref="K11" r:id="purchase2" display="View part" tooltip="Open DigiKey part page"/>
    <hyperlink ref="K12" r:id="purchase3" display="View part" tooltip="Open LCSC part page"/>
    <hyperlink ref="K13" r:id="purchase4" display="View part" tooltip="Open LCSC part page"/>
    <hyperlink ref="K14" r:id="purchase5" display="View part" tooltip="Open DigiKey part page"/>
    <hyperlink ref="K15" r:id="purchase6" display="View part" tooltip="Open LCSC part page"/>
    <hyperlink ref="K16" r:id="purchase7" display="View part" tooltip="Open LCSC part page"/>
    <hyperlink ref="K17" r:id="purchase8" display="View part" tooltip="Open DigiKey part page"/>
    <hyperlink ref="K18" r:id="purchase9" display="View part" tooltip="Open DigiKey part page"/>
    <hyperlink ref="K19" r:id="purchase10" display="View part" tooltip="Open DigiKey part page"/>
    <hyperlink ref="K20" r:id="purchase11" display="View part" tooltip="Open DigiKey part page"/>
    <hyperlink ref="K21" r:id="purchase12" display="View part" tooltip="Open DigiKey part page"/>
    <hyperlink ref="K22" r:id="purchase13" display="View part" tooltip="Open Newark part page"/>
    <hyperlink ref="K23" r:id="purchase14" display="View part" tooltip="Open LCSC part page"/>
    <hyperlink ref="K24" r:id="purchase15" display="View part" tooltip="Open DigiKey part page"/>
    <hyperlink ref="K25" r:id="purchase16" display="View part" tooltip="Open DigiKey part page"/>
    <hyperlink ref="K26" r:id="purchase17" display="View part" tooltip="Open LCSC part page"/>
    <hyperlink ref="K27" r:id="purchase18" display="View part" tooltip="Open LCSC part page"/>
    <hyperlink ref="K28" r:id="purchase19" display="View part" tooltip="Open LCSC part page"/>
    <hyperlink ref="K29" r:id="purchase20" display="View part" tooltip="Open LCSC part page"/>
    <hyperlink ref="K30" r:id="purchase21" display="View part" tooltip="Open DigiKey part page"/>
    <hyperlink ref="K31" r:id="purchase22" display="View part" tooltip="Open LCSC part page"/>
    <hyperlink ref="K32" r:id="purchase23" display="View part" tooltip="Open LCSC part page"/>
    <hyperlink ref="K33" r:id="purchase24" display="View part" tooltip="Open LCSC part page"/>
    <hyperlink ref="K34" r:id="purchase25" display="View part" tooltip="Open LCSC part page"/>
    <hyperlink ref="K35" r:id="purchase26" display="View part" tooltip="Open LCSC part page"/>
    <hyperlink ref="K36" r:id="purchase27" display="View part" tooltip="Open LCSC part page"/>
    <hyperlink ref="K37" r:id="purchase28" display="View part" tooltip="Open LCSC part page"/>
    <hyperlink ref="K38" r:id="purchase29" display="View part" tooltip="Open LCSC part page"/>
    <hyperlink ref="K39" r:id="purchase30" display="View part" tooltip="Open LCSC part page"/>
    <hyperlink ref="K40" r:id="purchase31" display="View part" tooltip="Open DigiKey part page"/>
    <hyperlink ref="K41" r:id="purchase32" display="View part" tooltip="Open DigiKey part page"/>
    <hyperlink ref="K42" r:id="purchase33" display="View part" tooltip="Open LCSC part page"/>
    <hyperlink ref="K43" r:id="purchase34" display="View part" tooltip="Open DigiKey part page"/>
    <hyperlink ref="K44" r:id="purchase35" display="View part" tooltip="Open LCSC part page"/>
    <hyperlink ref="K45" r:id="purchase36" display="View part" tooltip="Open DigiKey part page"/>
    <hyperlink ref="K46" r:id="purchase37" display="View part" tooltip="Open DigiKey part page"/>
    <hyperlink ref="K47" r:id="purchase38" display="View part" tooltip="Open DigiKey part page"/>
    <hyperlink ref="K48" r:id="purchase39" display="View part" tooltip="Open DigiKey part page"/>
  </hyperlinks>
  <pageMargins left="0.7" right="0.7" top="0.75" bottom="0.75" header="0.3" footer="0.3"/>
  <legacyDrawing r:id="R86445d7649134bfd"/>
</worksheet>
</file>