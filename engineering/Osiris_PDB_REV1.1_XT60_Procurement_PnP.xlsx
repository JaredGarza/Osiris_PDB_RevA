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2c1fcbbe5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urement" sheetId="1" r:id="Radb0e0e8fb314376"/>
    <x:sheet xmlns:r="http://schemas.openxmlformats.org/officeDocument/2006/relationships" name="Calculations" sheetId="2" r:id="R4b6248b0cdcc4465"/>
  </x:sheets>
</x:workbook>
</file>

<file path=xl/comments1.xml><?xml version="1.0" encoding="utf-8"?>
<x:comments xmlns:x="http://schemas.openxmlformats.org/spreadsheetml/2006/main">
  <x:authors>
    <x:author>tc={437E8216-7544-40E1-BF50-778228EA64C1}</x:author>
    <x:author/>
  </x:authors>
  <x:commentList>
    <x:comment ref="Q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final quantity for full reels or supplier minimums. Leave blank to buy the minimum. Order qty cannot fall below the minimum.</x:t>
        </x:r>
      </x:text>
    </x:comment>
    <x:comment ref="N9" authorId="1">
      <x:text>
        <x:r>
          <x:t>Supplier-reported stock checked Oct 8, 2026 via public web page; may be cached. Confirm at checkout.
Source: https://www.digikey.com/en/products/detail/tdk-corporation/C2012C0G2A223J125AC/5023347</x:t>
        </x:r>
      </x:text>
    </x:comment>
    <x:comment ref="N10" authorId="1">
      <x:text>
        <x:r>
          <x:t>Supplier-reported stock checked Oct 8, 2026 via public web page; may be cached. Confirm at checkout. Supplier expects 2,000 on Dec 1, 2026.
Source: https://www.digikey.com/en/products/detail/tdk/C2012X7R1H105K125AB/2732982</x:t>
        </x:r>
      </x:text>
    </x:comment>
    <x:comment ref="N11" authorId="1">
      <x:text>
        <x:r>
          <x:t>Supplier-reported stock checked Oct 8, 2026 via public web page; may be cached. Confirm at checkout.
Source: https://www.digikey.com/en/products/detail/kemet/C0603C104K4RACTU/411095</x:t>
        </x:r>
      </x:text>
    </x:comment>
    <x:comment ref="N12" authorId="1">
      <x:text>
        <x:r>
          <x:t>Supplier-reported stock checked Oct 8, 2026 via public web page; may be cached. Confirm at checkout. Supplier expects 2,000 on Dec 14, 2026.
Source: https://www.digikey.com/en/products/detail/tdk/C3216X7R1H106K160AC/9991386</x:t>
        </x:r>
      </x:text>
    </x:comment>
    <x:comment ref="N13" authorId="1">
      <x:text>
        <x:r>
          <x:t>Supplier-reported stock checked Oct 8, 2026 via public web page; may be cached. Confirm at checkout.
Source: https://www.digikey.com/en/products/detail/tdk-corporation/C2012X7R1A106K125AC/2619198</x:t>
        </x:r>
      </x:text>
    </x:comment>
    <x:comment ref="N14" authorId="1">
      <x:text>
        <x:r>
          <x:t>Supplier-reported stock checked Oct 8, 2026 via public web page; may be cached. Confirm at checkout. Supplier expects 4,000 on Oct 21, 2026.
Source: https://www.digikey.com/en/products/detail/tdk/C1608X7R1H104K080AA/513811</x:t>
        </x:r>
      </x:text>
    </x:comment>
    <x:comment ref="N15" authorId="1">
      <x:text>
        <x:r>
          <x:t>Supplier-reported stock checked Oct 8, 2026 via public web page; may be cached. Confirm at checkout.
Source: https://www.digikey.com/en/products/detail/tdk/B32529C0105J189/21838989</x:t>
        </x:r>
      </x:text>
    </x:comment>
    <x:comment ref="N16" authorId="1">
      <x:text>
        <x:r>
          <x:t>Supplier-reported stock checked Oct 8, 2026 via public web page; may be cached. Confirm at checkout.
Source: https://www.digikey.com/en/products/detail/panasonic-industry/EEH-ZS1V471P/9696291</x:t>
        </x:r>
      </x:text>
    </x:comment>
    <x:comment ref="N17" authorId="1">
      <x:text>
        <x:r>
          <x:t>Supplier-reported stock checked Oct 8, 2026 via public web page; may be cached. Confirm at checkout.
Source: https://www.digikey.com/en/products/detail/kemet/C0805C104K5RACTU/411169</x:t>
        </x:r>
      </x:text>
    </x:comment>
    <x:comment ref="N18" authorId="1">
      <x:text>
        <x:r>
          <x:t>Supplier-reported stock checked Oct 8, 2026 via public web page; may be cached. Confirm at checkout.
Source: https://www.digikey.com/en/products/detail/bourns-inc/SMAJ24CA/2254533</x:t>
        </x:r>
      </x:text>
    </x:comment>
    <x:comment ref="N19" authorId="1">
      <x:text>
        <x:r>
          <x:t>Supplier-reported stock checked Oct 8, 2026 via public web page; may be cached. Confirm at checkout.
Source: https://www.digikey.com/en/products/detail/stmicroelectronics/STPST10H100SB-TR/18700338</x:t>
        </x:r>
      </x:text>
    </x:comment>
    <x:comment ref="N20" authorId="1">
      <x:text>
        <x:r>
          <x:t>Supplier-reported stock checked Oct 8, 2026 via public web page; may be cached. Confirm at checkout.
Source: https://www.digikey.com/en/products/detail/bourns-inc/SMBJ24CA/2254553</x:t>
        </x:r>
      </x:text>
    </x:comment>
    <x:comment ref="N21" authorId="1">
      <x:text>
        <x:r>
          <x:t>Supplier-reported stock checked Oct 8, 2026 via public web page; may be cached. Confirm at checkout.
Source: https://www.digikey.com/en/products/detail/keystone-electronics/3568/2137306</x:t>
        </x:r>
      </x:text>
    </x:comment>
    <x:comment ref="N22" authorId="1">
      <x:text>
        <x:r>
          <x:t>Supplier-reported stock checked Oct 8, 2026 via public web page; may be cached. Confirm at checkout.
Source: https://www.digikey.com/en/products/detail/schurter-inc/3-140-177/20532467</x:t>
        </x:r>
      </x:text>
    </x:comment>
    <x:comment ref="N23" authorId="1">
      <x:text>
        <x:r>
          <x:t>Supplier-reported stock checked Oct 8, 2026 via public web page; may be cached. Confirm at checkout.
Source: https://www.digikey.com/en/products/detail/phoenix-contact/1932588/2511122</x:t>
        </x:r>
      </x:text>
    </x:comment>
    <x:comment ref="N24" authorId="1">
      <x:text>
        <x:r>
          <x:t>Mouser US page could not be read. Regional indexed pages conflict (0 versus 963). Confirm US stock directly with Mouser.
Source: https://www.mouser.com/ProductDetail/JST-Commercial/BM04B-GHS-TBTLFSN
Conflicting regional source: https://th.mouser.com/en/ProductDetail/JST-Commercial/BM04B-GHS-TBTLFSN?qs=cdbOS8ANM9DuBD4arU9XYQ%3D%3D</x:t>
        </x:r>
      </x:text>
    </x:comment>
    <x:comment ref="N25" authorId="1">
      <x:text>
        <x:r>
          <x:t>Supplier-reported stock checked Oct 8, 2026 via public web page; may be cached. Confirm at checkout.
Source: https://www.lcsc.com/product-detail/plug_changzhou-amass-elec-xt60pw-f_C428722.html</x:t>
        </x:r>
      </x:text>
    </x:comment>
    <x:comment ref="N26" authorId="1">
      <x:text>
        <x:r>
          <x:t>Supplier-reported stock checked Oct 8, 2026 via public web page; may be cached. Confirm at checkout.
Source: https://www.digikey.com/en/products/detail/infineon-technologies/ISC015N06NM5LF2ATMA1/22157619</x:t>
        </x:r>
      </x:text>
    </x:comment>
    <x:comment ref="N27" authorId="1">
      <x:text>
        <x:r>
          <x:t>Supplier-reported stock checked Oct 8, 2026 via public web page; may be cached. Confirm at checkout.
Source: https://www.digikey.com/en/products/detail/infineon-technologies/BSC070N10NS5ATMA1/5413723</x:t>
        </x:r>
      </x:text>
    </x:comment>
    <x:comment ref="N28" authorId="1">
      <x:text>
        <x:r>
          <x:t>Supplier-reported stock checked Oct 8, 2026 via public web page; may be cached. Confirm at checkout.
Source: https://www.digikey.com/en/products/detail/yageo/RC0805FR-07237KL/727754</x:t>
        </x:r>
      </x:text>
    </x:comment>
    <x:comment ref="N29" authorId="1">
      <x:text>
        <x:r>
          <x:t>Supplier-reported stock checked Oct 8, 2026 via public web page; may be cached. Confirm at checkout.
Source: https://www.digikey.com/en/products/detail/yageo/RC0805FR-0711K8L/730505</x:t>
        </x:r>
      </x:text>
    </x:comment>
    <x:comment ref="N30" authorId="1">
      <x:text>
        <x:r>
          <x:t>Supplier-reported stock checked Oct 8, 2026 via public web page; may be cached. Confirm at checkout.
Source: https://www.digikey.com/en/products/detail/yageo/RC0805FR-072ML/727665</x:t>
        </x:r>
      </x:text>
    </x:comment>
    <x:comment ref="N31" authorId="1">
      <x:text>
        <x:r>
          <x:t>Supplier-reported stock checked Oct 8, 2026 via public web page; may be cached. Confirm at checkout.
Source: https://www.digikey.com/en/products/detail/yageo/RC0805FR-0722KL/730683</x:t>
        </x:r>
      </x:text>
    </x:comment>
    <x:comment ref="N32" authorId="1">
      <x:text>
        <x:r>
          <x:t>Supplier-reported stock checked Oct 8, 2026 via public web page; may be cached. Confirm at checkout.
Source: https://www.digikey.com/en/products/detail/ohmite/FC4L64R005FER/3476128</x:t>
        </x:r>
      </x:text>
    </x:comment>
    <x:comment ref="N33" authorId="1">
      <x:text>
        <x:r>
          <x:t>Supplier-reported stock checked Oct 8, 2026 via public web page; may be cached. Confirm at checkout.
Source: https://www.digikey.com/en/products/detail/yageo/RC0805FR-07680KL/731049</x:t>
        </x:r>
      </x:text>
    </x:comment>
    <x:comment ref="N34" authorId="1">
      <x:text>
        <x:r>
          <x:t>Supplier-reported stock checked Oct 8, 2026 via public web page; may be cached. Confirm at checkout.
Source: https://www.digikey.com/en/products/detail/yageo/RC0805FR-07200KL/730671</x:t>
        </x:r>
      </x:text>
    </x:comment>
    <x:comment ref="N35" authorId="1">
      <x:text>
        <x:r>
          <x:t>Supplier-reported stock checked Oct 8, 2026 via public web page; may be cached. Confirm at checkout.
Source: https://www.digikey.com/en/products/detail/yageo/RC0805FR-0710RL/730481</x:t>
        </x:r>
      </x:text>
    </x:comment>
    <x:comment ref="N36" authorId="1">
      <x:text>
        <x:r>
          <x:t>Supplier-reported stock checked Oct 8, 2026 via public web page; may be cached. Confirm at checkout.
Source: https://www.digikey.com/en/products/detail/yageo/RC0805FR-074K7L/727929</x:t>
        </x:r>
      </x:text>
    </x:comment>
    <x:comment ref="N37" authorId="1">
      <x:text>
        <x:r>
          <x:t>Supplier-reported stock checked Oct 8, 2026 via public web page; may be cached. Confirm at checkout.
Source: https://www.digikey.com/en/products/detail/yageo/RC0805FR-071K58L/730449</x:t>
        </x:r>
      </x:text>
    </x:comment>
    <x:comment ref="N38" authorId="1">
      <x:text>
        <x:r>
          <x:t>Supplier-reported stock checked Oct 8, 2026 via public web page; may be cached. Confirm at checkout.
Source: https://www.digikey.com/en/products/detail/yageo/RC0805FR-071KL/727444</x:t>
        </x:r>
      </x:text>
    </x:comment>
    <x:comment ref="N39" authorId="1">
      <x:text>
        <x:r>
          <x:t>Supplier-reported stock checked Oct 8, 2026 via public web page; may be cached. Confirm at checkout.
Source: https://www.digikey.com/en/products/detail/yageo/RC0805FR-0754K9L/728029</x:t>
        </x:r>
      </x:text>
    </x:comment>
    <x:comment ref="N40" authorId="1">
      <x:text>
        <x:r>
          <x:t>Supplier-reported stock checked Oct 8, 2026 via public web page; may be cached. Confirm at checkout.
Source: https://www.digikey.com/en/products/detail/yageo/RC0805JR-0722ML/5919060</x:t>
        </x:r>
      </x:text>
    </x:comment>
    <x:comment ref="N41" authorId="1">
      <x:text>
        <x:r>
          <x:t>Supplier-reported stock checked Oct 8, 2026 via public web page; may be cached. Confirm at checkout.
Source: https://www.digikey.com/en/products/detail/yageo/RC0805FR-0710KL/727535</x:t>
        </x:r>
      </x:text>
    </x:comment>
    <x:comment ref="N42" authorId="1">
      <x:text>
        <x:r>
          <x:t>Supplier-reported stock checked Oct 8, 2026 via public web page; may be cached. Confirm at checkout.
Source: https://www.digikey.com/en/products/detail/vishay-dale/CRCW25121K00FKEGHP/2222092</x:t>
        </x:r>
      </x:text>
    </x:comment>
    <x:comment ref="N43" authorId="1">
      <x:text>
        <x:r>
          <x:t>Supplier-reported stock checked Oct 8, 2026 via public web page; may be cached. Confirm at checkout.
Source: https://www.digikey.com/en/products/detail/vishay-dale/CRCW25121R00FKEGHP/2222582</x:t>
        </x:r>
      </x:text>
    </x:comment>
    <x:comment ref="N44" authorId="1">
      <x:text>
        <x:r>
          <x:t>Supplier-reported stock checked Oct 8, 2026 via public web page; may be cached. Confirm at checkout.
Source: https://www.digikey.com/en/products/detail/yageo/RC0805FR-07100RL/727543</x:t>
        </x:r>
      </x:text>
    </x:comment>
    <x:comment ref="N45" authorId="1">
      <x:text>
        <x:r>
          <x:t>Supplier-reported stock checked Oct 8, 2026 via public web page; may be cached. Confirm at checkout. Supplier expects 2,500 on Oct 13, 2026.
Source: https://www.digikey.com/en/products/detail/analog-devices-inc/LTC4368HMS-1-TRPBF/6823508</x:t>
        </x:r>
      </x:text>
    </x:comment>
    <x:comment ref="N46" authorId="1">
      <x:text>
        <x:r>
          <x:t>Supplier-reported stock checked Oct 8, 2026 via public web page; may be cached. Confirm at checkout. Supplier expects 1,903 on Jan 4 and 597 on Jan 7, 2027.
Source: https://www.digikey.com/en/products/detail/texas-instruments/INA228AIDGSR/13691042</x:t>
        </x:r>
      </x:text>
    </x:comment>
    <x:comment ref="N47" authorId="1">
      <x:text>
        <x:r>
          <x:t>Supplier-reported stock checked Oct 8, 2026 via public web page; may be cached. Confirm at checkout.
Source: https://www.digikey.com/en/products/detail/analog-devices-inc/LT3010EMS8E-TRPBF/960041</x:t>
        </x:r>
      </x:text>
    </x:comment>
    <x:comment ref="N48" authorId="1">
      <x:text>
        <x:r>
          <x:t>Supplier-reported stock checked Oct 8, 2026 via public web page; may be cached. Confirm at checkout.
Source: https://www.digikey.com/en/products/detail/nexperia-usa-inc/74AUP1G07GW-125/1300720</x:t>
        </x:r>
      </x:text>
    </x:comment>
    <x:comment ref="N49" authorId="1">
      <x:text>
        <x:r>
          <x:t>Supplier-reported stock checked Oct 8, 2026 via public web page; may be cached. Confirm at checkout.
Source: https://www.digikey.com/en/products/detail/analog-devices-inc/LTC4359IMS8-TRPBF/3306830</x:t>
        </x:r>
      </x:text>
    </x:comment>
    <x:comment ref="N50" authorId="1">
      <x:text>
        <x:r>
          <x:t>Supplier-reported stock checked Oct 8, 2026 via public web page; may be cached. Confirm at checkout.
Source: https://www.digikey.com/en/products/detail/littelfuse-inc/029707-5WXNV/146586</x:t>
        </x:r>
      </x:text>
    </x:comment>
    <x:comment ref="N23" authorId="1">
      <x:text>
        <x:r>
          <x:t>XT60PW-F replaces Phoenix 1932588 at J1/J3. Stock and price inherit the October 8 J4 record; J1/J3/J4 share one stock pool. Source: same LCSC purchase link as K25. Confirm at checkout.</x:t>
        </x:r>
      </x:text>
    </x:comment>
    <x:comment ref="N16" authorId="1">
      <x:text>
        <x:r>
          <x:t>Replacement part EEHZL1H331P. Previous part supplier stock and price do not apply. Obtain a fresh quote. Source: https://industrial.panasonic.com/ww/products/pt/hybrid-aluminum/models/EEHZL1H331P</x:t>
        </x:r>
      </x:text>
    </x:comment>
    <x:comment ref="N20" authorId="1">
      <x:text>
        <x:r>
          <x:t>Replacement part SMBJ18CA. Previous part supplier stock and price do not apply. Obtain a fresh quote. Source: https://www.bourns.com/docs/product-datasheets/smbj.pdf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<x:sst xmlns:x="http://schemas.openxmlformats.org/spreadsheetml/2006/main">
  <x:si>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Osiris_PDB_REV1.1_Procurement</x:t>
  </x:si>
  <x:si>
    <x:t xml:space="preserve">Board quantity</x:t>
  </x:si>
  <x:si>
    <x:t xml:space="preserve">Parts / board (USD)</x:t>
  </x:si>
  <x:si>
    <x:t xml:space="preserve">Batch parts (USD)</x:t>
  </x:si>
  <x:si>
    <x:t xml:space="preserve">Stock shortages</x:t>
  </x:si>
  <x:si>
    <x:t xml:space="preserve">References</x:t>
  </x:si>
  <x:si>
    <x:t xml:space="preserve">Part description</x:t>
  </x:si>
  <x:si>
    <x:t xml:space="preserve">Manufacturer</x:t>
  </x:si>
  <x:si>
    <x:t xml:space="preserve">Manufacturer part number</x:t>
  </x:si>
  <x:si>
    <x:t xml:space="preserve">Supplier</x:t>
  </x:si>
  <x:si>
    <x:t xml:space="preserve">Qty / board</x:t>
  </x:si>
  <x:si>
    <x:t xml:space="preserve">Required qty</x:t>
  </x:si>
  <x:si>
    <x:t xml:space="preserve">Unit price (USD)</x:t>
  </x:si>
  <x:si>
    <x:t xml:space="preserve">Cost / board (USD)</x:t>
  </x:si>
  <x:si>
    <x:t xml:space="preserve">Batch cost (USD)</x:t>
  </x:si>
  <x:si>
    <x:t xml:space="preserve">Purchase link</x:t>
  </x:si>
  <x:si>
    <x:t xml:space="preserve">Price basis</x:t>
  </x:si>
  <x:si>
    <x:t xml:space="preserve">C1</x:t>
  </x:si>
  <x:si>
    <x:t xml:space="preserve">22n</x:t>
  </x:si>
  <x:si>
    <x:t xml:space="preserve">TDK</x:t>
  </x:si>
  <x:si>
    <x:t xml:space="preserve">C2012C0G2A223J125AC</x:t>
  </x:si>
  <x:si>
    <x:t xml:space="preserve">DigiKey</x:t>
  </x:si>
  <x:si>
    <x:t xml:space="preserve">DigiKey product</x:t>
  </x:si>
  <x:si>
    <x:t xml:space="preserve">Catalog 10/05/26</x:t>
  </x:si>
  <x:si>
    <x:t xml:space="preserve">C2, C18</x:t>
  </x:si>
  <x:si>
    <x:t xml:space="preserve">1U0</x:t>
  </x:si>
  <x:si>
    <x:t xml:space="preserve">C2012X7R1H105K125AB</x:t>
  </x:si>
  <x:si>
    <x:t xml:space="preserve">C3, C5, C8, C10</x:t>
  </x:si>
  <x:si>
    <x:t xml:space="preserve">100n</x:t>
  </x:si>
  <x:si>
    <x:t xml:space="preserve">KEMET</x:t>
  </x:si>
  <x:si>
    <x:t xml:space="preserve">C0603C104K4RACTU</x:t>
  </x:si>
  <x:si>
    <x:t xml:space="preserve">C4, C9</x:t>
  </x:si>
  <x:si>
    <x:t xml:space="preserve">10u</x:t>
  </x:si>
  <x:si>
    <x:t xml:space="preserve">C3216X7R1H106K160AC</x:t>
  </x:si>
  <x:si>
    <x:t xml:space="preserve">C6</x:t>
  </x:si>
  <x:si>
    <x:t xml:space="preserve">C2012X7R1A106K125AC</x:t>
  </x:si>
  <x:si>
    <x:t xml:space="preserve">C7</x:t>
  </x:si>
  <x:si>
    <x:t xml:space="preserve">C1608X7R1H104K080AA</x:t>
  </x:si>
  <x:si>
    <x:t xml:space="preserve">C11, C12, C13, C14, C15, C16</x:t>
  </x:si>
  <x:si>
    <x:t xml:space="preserve">1u</x:t>
  </x:si>
  <x:si>
    <x:t xml:space="preserve">B32529C0105J189</x:t>
  </x:si>
  <x:si>
    <x:t xml:space="preserve">C17</x:t>
  </x:si>
  <x:si>
    <x:t xml:space="preserve">Panasonic</x:t>
  </x:si>
  <x:si>
    <x:t xml:space="preserve">C19</x:t>
  </x:si>
  <x:si>
    <x:t xml:space="preserve">100n 50V X7R</x:t>
  </x:si>
  <x:si>
    <x:t xml:space="preserve">C0805C104K5RACTU</x:t>
  </x:si>
  <x:si>
    <x:t xml:space="preserve">D1, D4</x:t>
  </x:si>
  <x:si>
    <x:t xml:space="preserve">SMAJ24CA</x:t>
  </x:si>
  <x:si>
    <x:t xml:space="preserve">Bourns</x:t>
  </x:si>
  <x:si>
    <x:t xml:space="preserve">D3</x:t>
  </x:si>
  <x:si>
    <x:t xml:space="preserve">STPST10H100SB</x:t>
  </x:si>
  <x:si>
    <x:t xml:space="preserve">STMicroelectronics</x:t>
  </x:si>
  <x:si>
    <x:t xml:space="preserve">STPST10H100SB-TR</x:t>
  </x:si>
  <x:si>
    <x:t xml:space="preserve">D5</x:t>
  </x:si>
  <x:si>
    <x:t xml:space="preserve">F1</x:t>
  </x:si>
  <x:si>
    <x:t xml:space="preserve">MINI fuse holder</x:t>
  </x:si>
  <x:si>
    <x:t xml:space="preserve">Keystone</x:t>
  </x:si>
  <x:si>
    <x:t xml:space="preserve">3568</x:t>
  </x:si>
  <x:si>
    <x:t xml:space="preserve">F2</x:t>
  </x:si>
  <x:si>
    <x:t xml:space="preserve">UHS 100A 50V</x:t>
  </x:si>
  <x:si>
    <x:t xml:space="preserve">SCHURTER</x:t>
  </x:si>
  <x:si>
    <x:t xml:space="preserve">3-140-177</x:t>
  </x:si>
  <x:si>
    <x:t xml:space="preserve">J1, J3</x:t>
  </x:si>
  <x:si>
    <x:t xml:space="preserve">XT60PW-F</x:t>
  </x:si>
  <x:si>
    <x:t xml:space="preserve">AMASS</x:t>
  </x:si>
  <x:si>
    <x:t xml:space="preserve">LCSC</x:t>
  </x:si>
  <x:si>
    <x:t xml:space="preserve">LCSC product</x:t>
  </x:si>
  <x:si>
    <x:t xml:space="preserve">Reference estimate</x:t>
  </x:si>
  <x:si>
    <x:t xml:space="preserve">J2</x:t>
  </x:si>
  <x:si>
    <x:t xml:space="preserve">4-position JST GH connector</x:t>
  </x:si>
  <x:si>
    <x:t xml:space="preserve">JST</x:t>
  </x:si>
  <x:si>
    <x:t xml:space="preserve">BM04B-GHS-TBT(LF)(SN)</x:t>
  </x:si>
  <x:si>
    <x:t xml:space="preserve">Mouser</x:t>
  </x:si>
  <x:si>
    <x:t xml:space="preserve">Mouser product</x:t>
  </x:si>
  <x:si>
    <x:t xml:space="preserve">J4</x:t>
  </x:si>
  <x:si>
    <x:t xml:space="preserve">Q1, Q2</x:t>
  </x:si>
  <x:si>
    <x:t xml:space="preserve">ISC015N06NM5LF2</x:t>
  </x:si>
  <x:si>
    <x:t xml:space="preserve">Infineon</x:t>
  </x:si>
  <x:si>
    <x:t xml:space="preserve">ISC015N06NM5LF2ATMA1</x:t>
  </x:si>
  <x:si>
    <x:t xml:space="preserve">Q3</x:t>
  </x:si>
  <x:si>
    <x:t xml:space="preserve">BSC070N10NS5</x:t>
  </x:si>
  <x:si>
    <x:t xml:space="preserve">BSC070N10NS5ATMA1</x:t>
  </x:si>
  <x:si>
    <x:t xml:space="preserve">R1</x:t>
  </x:si>
  <x:si>
    <x:t xml:space="preserve">237k</x:t>
  </x:si>
  <x:si>
    <x:t xml:space="preserve">YAGEO</x:t>
  </x:si>
  <x:si>
    <x:t xml:space="preserve">RC0805FR-07237KL</x:t>
  </x:si>
  <x:si>
    <x:t xml:space="preserve">R2</x:t>
  </x:si>
  <x:si>
    <x:t xml:space="preserve">11k8</x:t>
  </x:si>
  <x:si>
    <x:t xml:space="preserve">RC0805FR-0711K8L</x:t>
  </x:si>
  <x:si>
    <x:t xml:space="preserve">R3</x:t>
  </x:si>
  <x:si>
    <x:t xml:space="preserve">2M0</x:t>
  </x:si>
  <x:si>
    <x:t xml:space="preserve">RC0805FR-072ML</x:t>
  </x:si>
  <x:si>
    <x:t xml:space="preserve">R4</x:t>
  </x:si>
  <x:si>
    <x:t xml:space="preserve">22k</x:t>
  </x:si>
  <x:si>
    <x:t xml:space="preserve">RC0805FR-0722KL</x:t>
  </x:si>
  <x:si>
    <x:t xml:space="preserve">R5</x:t>
  </x:si>
  <x:si>
    <x:t xml:space="preserve">5m</x:t>
  </x:si>
  <x:si>
    <x:t xml:space="preserve">Ohmite</x:t>
  </x:si>
  <x:si>
    <x:t xml:space="preserve">FC4L64R005FER</x:t>
  </x:si>
  <x:si>
    <x:t xml:space="preserve">R6</x:t>
  </x:si>
  <x:si>
    <x:t xml:space="preserve">680k</x:t>
  </x:si>
  <x:si>
    <x:t xml:space="preserve">RC0805FR-07680KL</x:t>
  </x:si>
  <x:si>
    <x:t xml:space="preserve">R7</x:t>
  </x:si>
  <x:si>
    <x:t xml:space="preserve">200k</x:t>
  </x:si>
  <x:si>
    <x:t xml:space="preserve">RC0805FR-07200KL</x:t>
  </x:si>
  <x:si>
    <x:t xml:space="preserve">R8, R9</x:t>
  </x:si>
  <x:si>
    <x:t xml:space="preserve">10</x:t>
  </x:si>
  <x:si>
    <x:t xml:space="preserve">RC0805FR-0710RL</x:t>
  </x:si>
  <x:si>
    <x:t xml:space="preserve">R10</x:t>
  </x:si>
  <x:si>
    <x:t xml:space="preserve">4k7</x:t>
  </x:si>
  <x:si>
    <x:t xml:space="preserve">RC0805FR-074K7L</x:t>
  </x:si>
  <x:si>
    <x:t xml:space="preserve">R11</x:t>
  </x:si>
  <x:si>
    <x:t xml:space="preserve">1k58</x:t>
  </x:si>
  <x:si>
    <x:t xml:space="preserve">RC0805FR-071K58L</x:t>
  </x:si>
  <x:si>
    <x:t xml:space="preserve">R12</x:t>
  </x:si>
  <x:si>
    <x:t xml:space="preserve">1k0</x:t>
  </x:si>
  <x:si>
    <x:t xml:space="preserve">RC0805FR-071KL</x:t>
  </x:si>
  <x:si>
    <x:t xml:space="preserve">R13</x:t>
  </x:si>
  <x:si>
    <x:t xml:space="preserve">54k9</x:t>
  </x:si>
  <x:si>
    <x:t xml:space="preserve">RC0805FR-0754K9L</x:t>
  </x:si>
  <x:si>
    <x:t xml:space="preserve">R14</x:t>
  </x:si>
  <x:si>
    <x:t xml:space="preserve">22M</x:t>
  </x:si>
  <x:si>
    <x:t xml:space="preserve">RC0805JR-0722ML</x:t>
  </x:si>
  <x:si>
    <x:t xml:space="preserve">R15, R16</x:t>
  </x:si>
  <x:si>
    <x:t xml:space="preserve">10k</x:t>
  </x:si>
  <x:si>
    <x:t xml:space="preserve">RC0805FR-0710KL</x:t>
  </x:si>
  <x:si>
    <x:t xml:space="preserve">R19</x:t>
  </x:si>
  <x:si>
    <x:t xml:space="preserve">1 kOhm resistor</x:t>
  </x:si>
  <x:si>
    <x:t xml:space="preserve">Vishay</x:t>
  </x:si>
  <x:si>
    <x:t xml:space="preserve">CRCW25121K00FKEGHP</x:t>
  </x:si>
  <x:si>
    <x:t xml:space="preserve">R20</x:t>
  </x:si>
  <x:si>
    <x:t xml:space="preserve">1</x:t>
  </x:si>
  <x:si>
    <x:t xml:space="preserve">CRCW25121R00FKEGHP</x:t>
  </x:si>
  <x:si>
    <x:t xml:space="preserve">R21</x:t>
  </x:si>
  <x:si>
    <x:t xml:space="preserve">100</x:t>
  </x:si>
  <x:si>
    <x:t xml:space="preserve">Yageo</x:t>
  </x:si>
  <x:si>
    <x:t xml:space="preserve">RC0805FR-07100RL</x:t>
  </x:si>
  <x:si>
    <x:t xml:space="preserve">U1</x:t>
  </x:si>
  <x:si>
    <x:t xml:space="preserve">LTC4368HMS-1-PBF</x:t>
  </x:si>
  <x:si>
    <x:t xml:space="preserve">Analog Devices</x:t>
  </x:si>
  <x:si>
    <x:t xml:space="preserve">LTC4368HMS-1#TRPBF</x:t>
  </x:si>
  <x:si>
    <x:t xml:space="preserve">U2</x:t>
  </x:si>
  <x:si>
    <x:t xml:space="preserve">INA228AIDGSR</x:t>
  </x:si>
  <x:si>
    <x:t xml:space="preserve">Texas Instruments</x:t>
  </x:si>
  <x:si>
    <x:t xml:space="preserve">U3</x:t>
  </x:si>
  <x:si>
    <x:t xml:space="preserve">LT3010EMS8E</x:t>
  </x:si>
  <x:si>
    <x:t xml:space="preserve">LT3010EMS8E#TRPBF</x:t>
  </x:si>
  <x:si>
    <x:t xml:space="preserve">U4</x:t>
  </x:si>
  <x:si>
    <x:t xml:space="preserve">74AUP1G07GW</x:t>
  </x:si>
  <x:si>
    <x:t xml:space="preserve">Nexperia</x:t>
  </x:si>
  <x:si>
    <x:t xml:space="preserve">74AUP1G07GW,125</x:t>
  </x:si>
  <x:si>
    <x:t xml:space="preserve">U5</x:t>
  </x:si>
  <x:si>
    <x:t xml:space="preserve">LTC4359IMS8</x:t>
  </x:si>
  <x:si>
    <x:t xml:space="preserve">LTC4359IMS8#TRPBF</x:t>
  </x:si>
  <x:si>
    <x:t xml:space="preserve">F1 fuse</x:t>
  </x:si>
  <x:si>
    <x:t xml:space="preserve">7.5 A MINI blade fuse</x:t>
  </x:si>
  <x:si>
    <x:t xml:space="preserve">Littelfuse</x:t>
  </x:si>
  <x:si>
    <x:t xml:space="preserve">029707.5WXNV</x:t>
  </x:si>
  <x:si>
    <x:t xml:space="preserve">TOTAL PARTS</x:t>
  </x:si>
</x:sst>
</file>

<file path=xl/styles.xml><?xml version="1.0" encoding="utf-8"?>
<x:styleSheet xmlns:x="http://schemas.openxmlformats.org/spreadsheetml/2006/main">
  <x:numFmts count="16">
    <x:numFmt numFmtId="164" formatCode="General"/>
    <x:numFmt numFmtId="165" formatCode="[$$-409]#,##0.00;[RED]\-[$$-409]#,##0.00"/>
    <x:numFmt numFmtId="166" formatCode="[$-409]General"/>
    <x:numFmt numFmtId="167" formatCode="\$#,##0.00"/>
    <x:numFmt numFmtId="168" formatCode="#,##0"/>
    <x:numFmt numFmtId="169" formatCode="\$0.0000"/>
    <x:numFmt numFmtId="200" formatCode="$#,##0.00"/>
    <x:numFmt numFmtId="201" formatCode="mmm d, yyyy"/>
    <x:numFmt numFmtId="202" formatCode="0.0000"/>
    <x:numFmt numFmtId="203" formatCode="0.000000000"/>
    <x:numFmt numFmtId="204" formatCode="0.###########"/>
    <x:numFmt numFmtId="205" formatCode="0.0000E+00"/>
    <x:numFmt numFmtId="206" formatCode="0.00"/>
    <x:numFmt numFmtId="207" formatCode="0.000000"/>
    <x:numFmt numFmtId="208" formatCode="0.00000"/>
    <x:numFmt numFmtId="209" formatCode="0.0%"/>
  </x:numFmts>
  <x:fonts count="2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222222"/>
      <x:name val="Arial"/>
    </x:font>
    <x:font>
      <x:b/>
      <x:sz val="16"/>
      <x:color rgb="FF222222"/>
      <x:name val="Arial"/>
    </x:font>
    <x:font>
      <x:b/>
      <x:sz val="10"/>
      <x:color rgb="FF222222"/>
      <x:name val="Arial"/>
    </x:font>
    <x:font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344E64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5"/>
      <x:name val="Arial"/>
    </x:font>
    <x:font>
      <x:sz val="10"/>
      <x:color rgb="FF1565C0"/>
      <x:name val="Arial"/>
    </x:font>
    <x:font>
      <x:b/>
      <x:sz val="18"/>
      <x:color rgb="FFFFFFFF"/>
      <x:name val="Arial"/>
    </x:font>
    <x:font>
      <x:b/>
      <x:sz val="12"/>
      <x:color rgb="FFFFFFFF"/>
      <x:name val="Arial"/>
    </x:font>
    <x:font>
      <x:b/>
      <x:sz val="10"/>
      <x:name val="Arial"/>
    </x:font>
    <x:font>
      <x:sz val="9"/>
      <x:name val="Arial"/>
    </x:font>
    <x:font>
      <x:b/>
      <x:sz val="11"/>
      <x:color rgb="FF1565C0"/>
      <x:name val="Arial"/>
    </x:font>
    <x:font>
      <x:b/>
      <x:sz val="11"/>
      <x:color rgb="FF24633D"/>
      <x:name val="Arial"/>
    </x:font>
    <x:font>
      <x:b/>
      <x:sz val="11"/>
      <x:color rgb="FF666666"/>
      <x:name val="Arial"/>
    </x:font>
    <x:font>
      <x:b/>
      <x:sz val="11"/>
      <x:color rgb="FF9C570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E8EBEE"/>
      </x:patternFill>
    </x:fill>
    <x:fill>
      <x:patternFill patternType="solid">
        <x:fgColor rgb="FF30363C"/>
      </x:patternFill>
    </x:fill>
    <x:fill>
      <x:patternFill patternType="solid">
        <x:fgColor rgb="FFF4F5F6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  <x:fill>
      <x:patternFill patternType="solid">
        <x:fgColor rgb="FF245A81"/>
      </x:patternFill>
    </x:fill>
    <x:fill>
      <x:patternFill patternType="solid">
        <x:fgColor rgb="FFE9EEF5"/>
      </x:patternFill>
    </x:fill>
    <x:fill>
      <x:patternFill patternType="solid">
        <x:fgColor rgb="FFFFF2CC"/>
      </x:patternFill>
    </x:fill>
    <x:fill>
      <x:patternFill patternType="solid">
        <x:fgColor rgb="FFEAF2FD"/>
      </x:patternFill>
    </x:fill>
    <x:fill>
      <x:patternFill patternType="solid">
        <x:fgColor rgb="FFE2F0D9"/>
      </x:patternFill>
    </x:fill>
    <x:fill>
      <x:patternFill patternType="solid">
        <x:fgColor rgb="FF5B4B8A"/>
      </x:patternFill>
    </x:fill>
    <x:fill>
      <x:patternFill patternType="solid">
        <x:fgColor rgb="FF16736C"/>
      </x:patternFill>
    </x:fill>
    <x:fill>
      <x:patternFill patternType="solid">
        <x:fgColor rgb="FFEEF0F3"/>
      </x:patternFill>
    </x:fill>
    <x:fill>
      <x:patternFill patternType="solid">
        <x:fgColor rgb="FFA45A22"/>
      </x:patternFill>
    </x:fill>
  </x:fills>
  <x:borders count="6">
    <x:border diagonalUp="0" diagonalDown="0"/>
    <x:border diagonalUp="0" diagonalDown="0">
      <x:bottom style="thin">
        <x:color rgb="FF555555"/>
      </x:bottom>
    </x:border>
    <x:border diagonalUp="0" diagonalDown="0">
      <x:right style="thin">
        <x:color rgb="FFFFFFFF"/>
      </x:right>
    </x:border>
    <x:border diagonalUp="0" diagonalDown="0">
      <x:left style="thin">
        <x:color rgb="FFFFFFFF"/>
      </x:left>
      <x:right style="thin">
        <x:color rgb="FFFFFFFF"/>
      </x:right>
    </x:border>
    <x:border diagonalUp="0" diagonalDown="0">
      <x:left style="thin">
        <x:color rgb="FFFFFFFF"/>
      </x:left>
    </x:border>
    <x:border diagonalUp="0" diagonalDown="0">
      <x:top style="thin">
        <x:color rgb="FF555555"/>
      </x:top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5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96">
    <x:xf numFmtId="164" fontId="0" fillId="0" borderId="0" xfId="0" applyFont="0" applyBorder="0" applyAlignment="0">
      <x:alignment horizontal="general" vertical="bottom" wrapText="0"/>
    </x:xf>
    <x:xf numFmtId="166" fontId="6" fillId="0" borderId="0" xfId="21" applyFont="1" applyBorder="1" applyAlignment="1">
      <x:alignment horizontal="general" vertical="center" wrapText="0"/>
    </x:xf>
    <x:xf numFmtId="166" fontId="7" fillId="0" borderId="0" xfId="21" applyFont="1" applyBorder="1" applyAlignment="1">
      <x:alignment horizontal="general" vertical="center" wrapText="0"/>
    </x:xf>
    <x:xf numFmtId="166" fontId="6" fillId="0" borderId="1" xfId="21" applyFont="1" applyBorder="1" applyAlignment="1">
      <x:alignment horizontal="general" vertical="center" wrapText="0"/>
    </x:xf>
    <x:xf numFmtId="166" fontId="8" fillId="2" borderId="0" xfId="21" applyFont="1" applyBorder="1" applyAlignment="1">
      <x:alignment horizontal="general" vertical="center" wrapText="0"/>
    </x:xf>
    <x:xf numFmtId="167" fontId="6" fillId="0" borderId="0" xfId="21" applyFont="1" applyBorder="1" applyAlignment="1">
      <x:alignment horizontal="general" vertical="center" wrapText="0"/>
    </x:xf>
    <x:xf numFmtId="166" fontId="9" fillId="0" borderId="0" xfId="21" applyFont="1" applyBorder="1" applyAlignment="1">
      <x:alignment horizontal="general" vertical="center" wrapText="0"/>
    </x:xf>
    <x:xf numFmtId="166" fontId="10" fillId="3" borderId="2" xfId="21" applyFont="1" applyBorder="1" applyAlignment="1">
      <x:alignment horizontal="center" vertical="center" wrapText="1"/>
    </x:xf>
    <x:xf numFmtId="166" fontId="10" fillId="3" borderId="3" xfId="21" applyFont="1" applyBorder="1" applyAlignment="1">
      <x:alignment horizontal="center" vertical="center" wrapText="1"/>
    </x:xf>
    <x:xf numFmtId="166" fontId="10" fillId="3" borderId="4" xfId="21" applyFont="1" applyBorder="1" applyAlignment="1">
      <x:alignment horizontal="center" vertical="center" wrapText="1"/>
    </x:xf>
    <x:xf numFmtId="166" fontId="6" fillId="0" borderId="0" xfId="21" applyFont="1" applyBorder="1" applyAlignment="1">
      <x:alignment horizontal="general" vertical="center" wrapText="1"/>
    </x:xf>
    <x:xf numFmtId="168" fontId="6" fillId="0" borderId="0" xfId="21" applyFont="1" applyBorder="1" applyAlignment="1">
      <x:alignment horizontal="right" vertical="center" wrapText="0"/>
    </x:xf>
    <x:xf numFmtId="169" fontId="6" fillId="0" borderId="0" xfId="21" applyFont="1" applyBorder="1" applyAlignment="1">
      <x:alignment horizontal="right" vertical="center" wrapText="0"/>
    </x:xf>
    <x:xf numFmtId="167" fontId="6" fillId="0" borderId="0" xfId="21" applyFont="1" applyBorder="1" applyAlignment="1">
      <x:alignment horizontal="right" vertical="center" wrapText="0"/>
    </x:xf>
    <x:xf numFmtId="166" fontId="11" fillId="0" borderId="0" xfId="21" applyFont="1" applyBorder="1" applyAlignment="1">
      <x:alignment horizontal="general" vertical="center" wrapText="0"/>
    </x:xf>
    <x:xf numFmtId="166" fontId="6" fillId="4" borderId="0" xfId="21" applyFont="1" applyBorder="1" applyAlignment="1">
      <x:alignment horizontal="general" vertical="center" wrapText="1"/>
    </x:xf>
    <x:xf numFmtId="166" fontId="6" fillId="4" borderId="0" xfId="21" applyFont="1" applyBorder="1" applyAlignment="1">
      <x:alignment horizontal="general" vertical="center" wrapText="0"/>
    </x:xf>
    <x:xf numFmtId="168" fontId="6" fillId="4" borderId="0" xfId="21" applyFont="1" applyBorder="1" applyAlignment="1">
      <x:alignment horizontal="right" vertical="center" wrapText="0"/>
    </x:xf>
    <x:xf numFmtId="169" fontId="6" fillId="4" borderId="0" xfId="21" applyFont="1" applyBorder="1" applyAlignment="1">
      <x:alignment horizontal="right" vertical="center" wrapText="0"/>
    </x:xf>
    <x:xf numFmtId="167" fontId="6" fillId="4" borderId="0" xfId="21" applyFont="1" applyBorder="1" applyAlignment="1">
      <x:alignment horizontal="right" vertical="center" wrapText="0"/>
    </x:xf>
    <x:xf numFmtId="166" fontId="11" fillId="4" borderId="0" xfId="21" applyFont="1" applyBorder="1" applyAlignment="1">
      <x:alignment horizontal="general" vertical="center" wrapText="0"/>
    </x:xf>
    <x:xf numFmtId="166" fontId="8" fillId="0" borderId="5" xfId="21" applyFont="1" applyBorder="1" applyAlignment="1">
      <x:alignment horizontal="general" vertical="center" wrapText="0"/>
    </x:xf>
    <x:xf numFmtId="167" fontId="8" fillId="0" borderId="5" xfId="21" applyFont="1" applyBorder="1" applyAlignment="1">
      <x:alignment horizontal="general" vertical="center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1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1"/>
    </x:xf>
    <x:xf numFmtId="164" fontId="13" fillId="6" borderId="0" xfId="0" applyNumberFormat="1" applyFont="1" applyFill="1" applyBorder="1" applyAlignment="1">
      <x:alignment horizontal="general" vertical="bottom" wrapText="0"/>
    </x:xf>
    <x:xf numFmtId="168" fontId="13" fillId="0" borderId="0" xfId="0" applyNumberFormat="1" applyFont="1" applyFill="1" applyBorder="1" applyAlignment="1">
      <x:alignment horizontal="general" vertical="bottom" wrapText="0"/>
    </x:xf>
    <x:xf numFmtId="168" fontId="13" fillId="6" borderId="0" xfId="0" applyNumberFormat="1" applyFont="1" applyFill="1" applyBorder="1" applyAlignment="1">
      <x:alignment horizontal="general" vertical="bottom" wrapText="0"/>
    </x:xf>
    <x:xf numFmtId="200" fontId="13" fillId="0" borderId="0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200" fontId="14" fillId="0" borderId="0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1"/>
    </x:xf>
    <x:xf numFmtId="201" fontId="13" fillId="0" borderId="0" xfId="0" applyNumberFormat="1" applyFont="1" applyFill="1" applyBorder="1" applyAlignment="1">
      <x:alignment horizontal="general" vertical="bottom" wrapText="0"/>
    </x:xf>
    <x:xf numFmtId="168" fontId="6" fillId="0" borderId="0" xfId="0" applyNumberFormat="1" applyFont="1" applyFill="1" applyBorder="1" applyAlignment="1">
      <x:alignment horizontal="right" vertical="center" wrapText="0"/>
    </x:xf>
    <x:xf numFmtId="168" fontId="6" fillId="4" borderId="0" xfId="0" applyNumberFormat="1" applyFont="1" applyFill="1" applyBorder="1" applyAlignment="1">
      <x:alignment horizontal="right" vertical="center" wrapText="0"/>
    </x:xf>
    <x:xf numFmtId="164" fontId="15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center" wrapText="0"/>
    </x:xf>
    <x:xf numFmtId="164" fontId="10" fillId="8" borderId="0" xfId="0" applyNumberFormat="1" applyFont="1" applyFill="1" applyBorder="1" applyAlignment="1">
      <x:alignment horizontal="general" vertical="center" wrapText="1"/>
    </x:xf>
    <x:xf numFmtId="164" fontId="10" fillId="8" borderId="0" xfId="0" applyNumberFormat="1" applyFont="1" applyFill="1" applyBorder="1" applyAlignment="1">
      <x:alignment horizontal="general" vertical="center" wrapText="0"/>
    </x:xf>
    <x:xf numFmtId="164" fontId="16" fillId="0" borderId="0" xfId="0" applyNumberFormat="1" applyFont="1" applyFill="1" applyBorder="1" applyAlignment="1">
      <x:alignment horizontal="general" vertical="center" wrapText="0"/>
    </x:xf>
    <x:xf numFmtId="202" fontId="0" fillId="0" borderId="0" xfId="0" applyNumberFormat="1" applyFont="1" applyFill="1" applyBorder="1" applyAlignment="1">
      <x:alignment horizontal="general" vertical="center" wrapText="0"/>
    </x:xf>
    <x:xf numFmtId="203" fontId="16" fillId="0" borderId="0" xfId="0" applyNumberFormat="1" applyFont="1" applyFill="1" applyBorder="1" applyAlignment="1">
      <x:alignment horizontal="general" vertical="center" wrapText="0"/>
    </x:xf>
    <x:xf numFmtId="204" fontId="16" fillId="0" borderId="0" xfId="0" applyNumberFormat="1" applyFont="1" applyFill="1" applyBorder="1" applyAlignment="1">
      <x:alignment horizontal="general" vertical="center" wrapText="0"/>
    </x:xf>
    <x:xf numFmtId="205" fontId="16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center" wrapText="1"/>
    </x:xf>
    <x:xf numFmtId="164" fontId="17" fillId="9" borderId="0" xfId="0" applyNumberFormat="1" applyFont="1" applyFill="1" applyBorder="1" applyAlignment="1">
      <x:alignment horizontal="general" vertical="center" wrapText="1"/>
    </x:xf>
    <x:xf numFmtId="164" fontId="0" fillId="10" borderId="0" xfId="0" applyNumberFormat="1" applyFont="1" applyFill="1" applyBorder="1" applyAlignment="1">
      <x:alignment horizontal="general" vertical="center" wrapText="1"/>
    </x:xf>
    <x:xf numFmtId="164" fontId="18" fillId="10" borderId="0" xfId="0" applyNumberFormat="1" applyFont="1" applyFill="1" applyBorder="1" applyAlignment="1">
      <x:alignment horizontal="general" vertical="center" wrapText="1"/>
    </x:xf>
    <x:xf numFmtId="164" fontId="0" fillId="11" borderId="0" xfId="0" applyNumberFormat="1" applyFont="1" applyFill="1" applyBorder="1" applyAlignment="1">
      <x:alignment horizontal="general" vertical="center" wrapText="1"/>
    </x:xf>
    <x:xf numFmtId="164" fontId="19" fillId="11" borderId="0" xfId="0" applyNumberFormat="1" applyFont="1" applyFill="1" applyBorder="1" applyAlignment="1">
      <x:alignment horizontal="general" vertical="center" wrapText="1"/>
    </x:xf>
    <x:xf numFmtId="164" fontId="20" fillId="0" borderId="0" xfId="0" applyNumberFormat="1" applyFont="1" applyFill="1" applyBorder="1" applyAlignment="1">
      <x:alignment horizontal="general" vertical="center" wrapText="1"/>
    </x:xf>
    <x:xf numFmtId="164" fontId="0" fillId="12" borderId="0" xfId="0" applyNumberFormat="1" applyFont="1" applyFill="1" applyBorder="1" applyAlignment="1">
      <x:alignment horizontal="general" vertical="center" wrapText="1"/>
    </x:xf>
    <x:xf numFmtId="164" fontId="21" fillId="12" borderId="0" xfId="0" applyNumberFormat="1" applyFont="1" applyFill="1" applyBorder="1" applyAlignment="1">
      <x:alignment horizontal="general" vertical="center" wrapText="1"/>
    </x:xf>
    <x:xf numFmtId="206" fontId="21" fillId="12" borderId="0" xfId="0" applyNumberFormat="1" applyFont="1" applyFill="1" applyBorder="1" applyAlignment="1">
      <x:alignment horizontal="general" vertical="center" wrapText="1"/>
    </x:xf>
    <x:xf numFmtId="168" fontId="21" fillId="12" borderId="0" xfId="0" applyNumberFormat="1" applyFont="1" applyFill="1" applyBorder="1" applyAlignment="1">
      <x:alignment horizontal="general" vertical="center" wrapText="1"/>
    </x:xf>
    <x:xf numFmtId="164" fontId="0" fillId="13" borderId="0" xfId="0" applyNumberFormat="1" applyFont="1" applyFill="1" applyBorder="1" applyAlignment="1">
      <x:alignment horizontal="general" vertical="center" wrapText="1"/>
    </x:xf>
    <x:xf numFmtId="164" fontId="21" fillId="13" borderId="0" xfId="0" applyNumberFormat="1" applyFont="1" applyFill="1" applyBorder="1" applyAlignment="1">
      <x:alignment horizontal="general" vertical="center" wrapText="1"/>
    </x:xf>
    <x:xf numFmtId="168" fontId="21" fillId="13" borderId="0" xfId="0" applyNumberFormat="1" applyFont="1" applyFill="1" applyBorder="1" applyAlignment="1">
      <x:alignment horizontal="general" vertical="center" wrapText="1"/>
    </x:xf>
    <x:xf numFmtId="207" fontId="21" fillId="12" borderId="0" xfId="0" applyNumberFormat="1" applyFont="1" applyFill="1" applyBorder="1" applyAlignment="1">
      <x:alignment horizontal="general" vertical="center" wrapText="1"/>
    </x:xf>
    <x:xf numFmtId="164" fontId="0" fillId="14" borderId="0" xfId="0" applyNumberFormat="1" applyFont="1" applyFill="1" applyBorder="1" applyAlignment="1">
      <x:alignment horizontal="general" vertical="center" wrapText="1"/>
    </x:xf>
    <x:xf numFmtId="164" fontId="22" fillId="14" borderId="0" xfId="0" applyNumberFormat="1" applyFont="1" applyFill="1" applyBorder="1" applyAlignment="1">
      <x:alignment horizontal="general" vertical="center" wrapText="1"/>
    </x:xf>
    <x:xf numFmtId="202" fontId="22" fillId="14" borderId="0" xfId="0" applyNumberFormat="1" applyFont="1" applyFill="1" applyBorder="1" applyAlignment="1">
      <x:alignment horizontal="general" vertical="center" wrapText="1"/>
    </x:xf>
    <x:xf numFmtId="164" fontId="0" fillId="15" borderId="0" xfId="0" applyNumberFormat="1" applyFont="1" applyFill="1" applyBorder="1" applyAlignment="1">
      <x:alignment horizontal="general" vertical="center" wrapText="1"/>
    </x:xf>
    <x:xf numFmtId="164" fontId="18" fillId="15" borderId="0" xfId="0" applyNumberFormat="1" applyFont="1" applyFill="1" applyBorder="1" applyAlignment="1">
      <x:alignment horizontal="general" vertical="center" wrapText="1"/>
    </x:xf>
    <x:xf numFmtId="208" fontId="21" fillId="13" borderId="0" xfId="0" applyNumberFormat="1" applyFont="1" applyFill="1" applyBorder="1" applyAlignment="1">
      <x:alignment horizontal="general" vertical="center" wrapText="1"/>
    </x:xf>
    <x:xf numFmtId="209" fontId="21" fillId="13" borderId="0" xfId="0" applyNumberFormat="1" applyFont="1" applyFill="1" applyBorder="1" applyAlignment="1">
      <x:alignment horizontal="general" vertical="center" wrapText="1"/>
    </x:xf>
    <x:xf numFmtId="164" fontId="0" fillId="16" borderId="0" xfId="0" applyNumberFormat="1" applyFont="1" applyFill="1" applyBorder="1" applyAlignment="1">
      <x:alignment horizontal="general" vertical="center" wrapText="1"/>
    </x:xf>
    <x:xf numFmtId="164" fontId="18" fillId="16" borderId="0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center" wrapText="1"/>
    </x:xf>
    <x:xf numFmtId="164" fontId="23" fillId="17" borderId="0" xfId="0" applyNumberFormat="1" applyFont="1" applyFill="1" applyBorder="1" applyAlignment="1">
      <x:alignment horizontal="general" vertical="center" wrapText="1"/>
    </x:xf>
    <x:xf numFmtId="168" fontId="23" fillId="17" borderId="0" xfId="0" applyNumberFormat="1" applyFont="1" applyFill="1" applyBorder="1" applyAlignment="1">
      <x:alignment horizontal="general" vertical="center" wrapText="1"/>
    </x:xf>
    <x:xf numFmtId="209" fontId="23" fillId="17" borderId="0" xfId="0" applyNumberFormat="1" applyFont="1" applyFill="1" applyBorder="1" applyAlignment="1">
      <x:alignment horizontal="general" vertical="center" wrapText="1"/>
    </x:xf>
    <x:xf numFmtId="206" fontId="21" fillId="13" borderId="0" xfId="0" applyNumberFormat="1" applyFont="1" applyFill="1" applyBorder="1" applyAlignment="1">
      <x:alignment horizontal="general" vertical="center" wrapText="1"/>
    </x:xf>
    <x:xf numFmtId="205" fontId="21" fillId="13" borderId="0" xfId="0" applyNumberFormat="1" applyFont="1" applyFill="1" applyBorder="1" applyAlignment="1">
      <x:alignment horizontal="general" vertical="center" wrapText="1"/>
    </x:xf>
    <x:xf numFmtId="208" fontId="21" fillId="12" borderId="0" xfId="0" applyNumberFormat="1" applyFont="1" applyFill="1" applyBorder="1" applyAlignment="1">
      <x:alignment horizontal="general" vertical="center" wrapText="1"/>
    </x:xf>
    <x:xf numFmtId="206" fontId="23" fillId="17" borderId="0" xfId="0" applyNumberFormat="1" applyFont="1" applyFill="1" applyBorder="1" applyAlignment="1">
      <x:alignment horizontal="general" vertical="center" wrapText="1"/>
    </x:xf>
    <x:xf numFmtId="208" fontId="23" fillId="17" borderId="0" xfId="0" applyNumberFormat="1" applyFont="1" applyFill="1" applyBorder="1" applyAlignment="1">
      <x:alignment horizontal="general" vertical="center" wrapText="1"/>
    </x:xf>
    <x:xf numFmtId="168" fontId="22" fillId="14" borderId="0" xfId="0" applyNumberFormat="1" applyFont="1" applyFill="1" applyBorder="1" applyAlignment="1">
      <x:alignment horizontal="general" vertical="center" wrapText="1"/>
    </x:xf>
    <x:xf numFmtId="207" fontId="21" fillId="13" borderId="0" xfId="0" applyNumberFormat="1" applyFont="1" applyFill="1" applyBorder="1" applyAlignment="1">
      <x:alignment horizontal="general" vertical="center" wrapText="1"/>
    </x:xf>
    <x:xf numFmtId="205" fontId="21" fillId="12" borderId="0" xfId="0" applyNumberFormat="1" applyFont="1" applyFill="1" applyBorder="1" applyAlignment="1">
      <x:alignment horizontal="general" vertical="center" wrapText="1"/>
    </x:xf>
    <x:xf numFmtId="164" fontId="0" fillId="18" borderId="0" xfId="0" applyNumberFormat="1" applyFont="1" applyFill="1" applyBorder="1" applyAlignment="1">
      <x:alignment horizontal="general" vertical="center" wrapText="1"/>
    </x:xf>
    <x:xf numFmtId="164" fontId="18" fillId="18" borderId="0" xfId="0" applyNumberFormat="1" applyFont="1" applyFill="1" applyBorder="1" applyAlignment="1">
      <x:alignment horizontal="general" vertical="center" wrapText="1"/>
    </x:xf>
    <x:xf numFmtId="205" fontId="23" fillId="17" borderId="0" xfId="0" applyNumberFormat="1" applyFont="1" applyFill="1" applyBorder="1" applyAlignment="1">
      <x:alignment horizontal="general" vertical="center" wrapText="1"/>
    </x:xf>
    <x:xf numFmtId="164" fontId="24" fillId="12" borderId="0" xfId="0" applyNumberFormat="1" applyFont="1" applyFill="1" applyBorder="1" applyAlignment="1">
      <x:alignment horizontal="general" vertical="center" wrapText="1"/>
    </x:xf>
    <x:xf numFmtId="202" fontId="24" fillId="12" borderId="0" xfId="0" applyNumberFormat="1" applyFont="1" applyFill="1" applyBorder="1" applyAlignment="1">
      <x:alignment horizontal="general" vertical="center" wrapText="1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Result2" xfId="20"/>
    <x:cellStyle name="Normal" xfId="21"/>
  </x:cellStyles>
  <x:dxfs count="2">
    <x:dxf>
      <x:font>
        <x:b/>
        <x:color rgb="FF713636"/>
        <x:name val="Arial"/>
        <x:family val="2"/>
      </x:font>
      <x:fill>
        <x:patternFill>
          <x:bgColor rgb="FFF2E9E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713636"/>
      <x:rgbColor rgb="FFF4F5F6"/>
      <x:rgbColor rgb="FFE8EBEE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E9E9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55555"/>
      <x:rgbColor rgb="FF969696"/>
      <x:rgbColor rgb="FF003366"/>
      <x:rgbColor rgb="FF339966"/>
      <x:rgbColor rgb="FF003300"/>
      <x:rgbColor rgb="FF222222"/>
      <x:rgbColor rgb="FF993300"/>
      <x:rgbColor rgb="FF993366"/>
      <x:rgbColor rgb="FF344E64"/>
      <x:rgbColor rgb="FF30363C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d28df03e749ee" /><Relationship Type="http://schemas.openxmlformats.org/officeDocument/2006/relationships/theme" Target="/xl/theme/theme1.xml" Id="R9383cf014bbb4ce8" /><Relationship Type="http://schemas.openxmlformats.org/officeDocument/2006/relationships/sharedStrings" Target="/xl/sharedStrings.xml" Id="R29d21b697e034bc0" /><Relationship Type="http://schemas.openxmlformats.org/officeDocument/2006/relationships/worksheet" Target="/xl/worksheets/sheet1.xml" Id="Radb0e0e8fb314376" /><Relationship Type="http://schemas.openxmlformats.org/officeDocument/2006/relationships/worksheet" Target="/xl/worksheets/sheet2.xml" Id="R4b6248b0cdcc4465" /><Relationship Type="http://schemas.microsoft.com/office/2017/10/relationships/person" Target="/xl/persons/person.xml" Id="R88e46acc8903419a" /></Relationships>
</file>

<file path=xl/persons/person.xml><?xml version="1.0" encoding="utf-8"?>
<xltc:personList xmlns:xltc="http://schemas.microsoft.com/office/spreadsheetml/2018/threadedcomments">
  <xltc:person displayName="User" id="{4B912685-3953-4407-B594-3975BD616680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Q8" dT="2026-10-07T15:03:29.687" personId="{4B912685-3953-4407-B594-3975BD616680}" id="{437E8216-7544-40E1-BF50-778228EA64C1}">
    <xltc:text>Optional final quantity for full reels or supplier minimums. Leave blank to buy the minimum. Order qty cannot fall below the minimum.</xltc:text>
  </xltc:threadedComment>
</xltc:ThreadedComments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https://www.digikey.com/en/products/detail/tdk-corporation/C2012C0G2A223J125AC/5023347" TargetMode="External" Id="Rea13c52f8c124604" /><ns0:Relationship Type="http://schemas.openxmlformats.org/officeDocument/2006/relationships/hyperlink" Target="https://www.digikey.com/en/products/detail/tdk/C2012X7R1H105K125AB/2732982" TargetMode="External" Id="Radc5d017c8ef45a0" /><ns0:Relationship Type="http://schemas.openxmlformats.org/officeDocument/2006/relationships/hyperlink" Target="https://www.digikey.com/en/products/detail/kemet/C0603C104K4RACTU/411095" TargetMode="External" Id="R316017bd95194e9d" /><ns0:Relationship Type="http://schemas.openxmlformats.org/officeDocument/2006/relationships/hyperlink" Target="https://www.digikey.com/en/products/detail/tdk/C3216X7R1H106K160AC/9991386" TargetMode="External" Id="R26767bccf2b44759" /><ns0:Relationship Type="http://schemas.openxmlformats.org/officeDocument/2006/relationships/hyperlink" Target="https://www.digikey.com/en/products/detail/tdk-corporation/C2012X7R1A106K125AC/2619198" TargetMode="External" Id="Rd00d99eb7a674473" /><ns0:Relationship Type="http://schemas.openxmlformats.org/officeDocument/2006/relationships/hyperlink" Target="https://www.digikey.com/en/products/detail/tdk/C1608X7R1H104K080AA/513811" TargetMode="External" Id="R750c6d932c814ef9" /><ns0:Relationship Type="http://schemas.openxmlformats.org/officeDocument/2006/relationships/hyperlink" Target="https://www.digikey.com/en/products/detail/tdk/B32529C0105J189/21838989" TargetMode="External" Id="Re57bc7b2b59b4787" /><ns0:Relationship Type="http://schemas.openxmlformats.org/officeDocument/2006/relationships/hyperlink" Target="https://industrial.panasonic.com/ww/products/pt/hybrid-aluminum/models/EEHZL1H331P" TargetMode="External" Id="Rbf3d0f4528184afd" /><ns0:Relationship Type="http://schemas.openxmlformats.org/officeDocument/2006/relationships/hyperlink" Target="https://www.digikey.com/en/products/detail/kemet/C0805C104K5RACTU/411169" TargetMode="External" Id="R0a003a27f8094495" /><ns0:Relationship Type="http://schemas.openxmlformats.org/officeDocument/2006/relationships/hyperlink" Target="https://www.digikey.com/en/products/detail/bourns-inc/SMAJ24CA/2254533" TargetMode="External" Id="R6d29897940904601" /><ns0:Relationship Type="http://schemas.openxmlformats.org/officeDocument/2006/relationships/hyperlink" Target="https://www.digikey.com/en/products/detail/stmicroelectronics/STPST10H100SB-TR/18700338" TargetMode="External" Id="Rc43cc238730d4c68" /><ns0:Relationship Type="http://schemas.openxmlformats.org/officeDocument/2006/relationships/hyperlink" Target="https://www.bourns.com/docs/product-datasheets/smbj.pdf" TargetMode="External" Id="R1f23888e9d2141f3" /><ns0:Relationship Type="http://schemas.openxmlformats.org/officeDocument/2006/relationships/hyperlink" Target="https://www.digikey.com/en/products/detail/keystone-electronics/3568/2137306" TargetMode="External" Id="R623b9a7c451348f7" /><ns0:Relationship Type="http://schemas.openxmlformats.org/officeDocument/2006/relationships/hyperlink" Target="https://www.digikey.com/en/products/detail/schurter-inc/3-140-177/20532467" TargetMode="External" Id="R67047e9f99ea4d2f" /><ns0:Relationship Type="http://schemas.openxmlformats.org/officeDocument/2006/relationships/hyperlink" Target="https://www.lcsc.com/product-detail/plug_changzhou-amass-elec-xt60pw-f_C428722.html" TargetMode="External" Id="Rf163647432c34955" /><ns0:Relationship Type="http://schemas.openxmlformats.org/officeDocument/2006/relationships/hyperlink" Target="https://www.mouser.com/ProductDetail/JST-Commercial/BM04B-GHS-TBTLFSN" TargetMode="External" Id="Rc337971a95004862" /><ns0:Relationship Type="http://schemas.openxmlformats.org/officeDocument/2006/relationships/hyperlink" Target="https://www.lcsc.com/product-detail/plug_changzhou-amass-elec-xt60pw-f_C428722.html" TargetMode="External" Id="R5a855218d5b94c2a" /><ns0:Relationship Type="http://schemas.openxmlformats.org/officeDocument/2006/relationships/hyperlink" Target="https://www.digikey.com/en/products/detail/infineon-technologies/ISC015N06NM5LF2ATMA1/22157619" TargetMode="External" Id="R16345da44de9492d" /><ns0:Relationship Type="http://schemas.openxmlformats.org/officeDocument/2006/relationships/hyperlink" Target="https://www.digikey.com/en/products/detail/infineon-technologies/BSC070N10NS5ATMA1/5413723" TargetMode="External" Id="Rcde94be920144bfb" /><ns0:Relationship Type="http://schemas.openxmlformats.org/officeDocument/2006/relationships/hyperlink" Target="https://www.digikey.com/en/products/detail/yageo/RC0805FR-07237KL/727754" TargetMode="External" Id="R539315d2cf2f4d49" /><ns0:Relationship Type="http://schemas.openxmlformats.org/officeDocument/2006/relationships/hyperlink" Target="https://www.digikey.com/en/products/detail/yageo/RC0805FR-0711K8L/730505" TargetMode="External" Id="Ra642c01647f1470c" /><ns0:Relationship Type="http://schemas.openxmlformats.org/officeDocument/2006/relationships/hyperlink" Target="https://www.digikey.com/en/products/detail/yageo/RC0805FR-072ML/727665" TargetMode="External" Id="Rd4389448a5bf450d" /><ns0:Relationship Type="http://schemas.openxmlformats.org/officeDocument/2006/relationships/hyperlink" Target="https://www.digikey.com/en/products/detail/yageo/RC0805FR-0722KL/730683" TargetMode="External" Id="R623098fd1cff4e99" /><ns0:Relationship Type="http://schemas.openxmlformats.org/officeDocument/2006/relationships/hyperlink" Target="https://www.digikey.com/en/products/detail/ohmite/FC4L64R005FER/3476128" TargetMode="External" Id="R7e3ca50b0cc64d40" /><ns0:Relationship Type="http://schemas.openxmlformats.org/officeDocument/2006/relationships/hyperlink" Target="https://www.digikey.com/en/products/detail/yageo/RC0805FR-07680KL/731049" TargetMode="External" Id="R0ce85b6cc5f84257" /><ns0:Relationship Type="http://schemas.openxmlformats.org/officeDocument/2006/relationships/hyperlink" Target="https://www.digikey.com/en/products/detail/yageo/RC0805FR-07200KL/730671" TargetMode="External" Id="R2a66da154b50400e" /><ns0:Relationship Type="http://schemas.openxmlformats.org/officeDocument/2006/relationships/hyperlink" Target="https://www.digikey.com/en/products/detail/yageo/RC0805FR-0710RL/730481" TargetMode="External" Id="R420a3b914b7c4090" /><ns0:Relationship Type="http://schemas.openxmlformats.org/officeDocument/2006/relationships/hyperlink" Target="https://www.digikey.com/en/products/detail/yageo/RC0805FR-074K7L/727929" TargetMode="External" Id="R79e9e0a81a054c69" /><ns0:Relationship Type="http://schemas.openxmlformats.org/officeDocument/2006/relationships/hyperlink" Target="https://www.digikey.com/en/products/detail/yageo/RC0805FR-071K58L/730449" TargetMode="External" Id="R0327d90ffd3c4673" /><ns0:Relationship Type="http://schemas.openxmlformats.org/officeDocument/2006/relationships/hyperlink" Target="https://www.digikey.com/en/products/detail/yageo/RC0805FR-071KL/727444" TargetMode="External" Id="Rd0d895c6f9dc4ae5" /><ns0:Relationship Type="http://schemas.openxmlformats.org/officeDocument/2006/relationships/hyperlink" Target="https://www.digikey.com/en/products/detail/yageo/RC0805FR-0754K9L/728029" TargetMode="External" Id="R7788f510bcbd4308" /><ns0:Relationship Type="http://schemas.openxmlformats.org/officeDocument/2006/relationships/hyperlink" Target="https://www.digikey.com/en/products/detail/yageo/RC0805JR-0722ML/5919060" TargetMode="External" Id="R22cbbfb1a8f04ada" /><ns0:Relationship Type="http://schemas.openxmlformats.org/officeDocument/2006/relationships/hyperlink" Target="https://www.digikey.com/en/products/detail/yageo/RC0805FR-0710KL/727535" TargetMode="External" Id="R24bfe69136314580" /><ns0:Relationship Type="http://schemas.openxmlformats.org/officeDocument/2006/relationships/hyperlink" Target="https://www.digikey.com/en/products/detail/vishay-dale/CRCW25121K00FKEGHP/2222092" TargetMode="External" Id="Rb4b91b2d8ce34a67" /><ns0:Relationship Type="http://schemas.openxmlformats.org/officeDocument/2006/relationships/hyperlink" Target="https://www.digikey.com/en/products/detail/vishay-dale/CRCW25121R00FKEGHP/2222582" TargetMode="External" Id="Ra227599605c244da" /><ns0:Relationship Type="http://schemas.openxmlformats.org/officeDocument/2006/relationships/hyperlink" Target="https://www.digikey.com/en/products/detail/yageo/RC0805FR-07100RL/727543" TargetMode="External" Id="Rc0e9af25195241cb" /><ns0:Relationship Type="http://schemas.openxmlformats.org/officeDocument/2006/relationships/hyperlink" Target="https://www.digikey.com/en/products/detail/analog-devices-inc/LTC4368HMS-1-TRPBF/6823508" TargetMode="External" Id="R539435faa2ef4d7b" /><ns0:Relationship Type="http://schemas.openxmlformats.org/officeDocument/2006/relationships/hyperlink" Target="https://www.digikey.com/en/products/detail/texas-instruments/INA228AIDGSR/13691042" TargetMode="External" Id="Rb9dacf91c5734c87" /><ns0:Relationship Type="http://schemas.openxmlformats.org/officeDocument/2006/relationships/hyperlink" Target="https://www.digikey.com/en/products/detail/analog-devices-inc/LT3010EMS8E-TRPBF/960041" TargetMode="External" Id="Rf5bec8c878d84090" /><ns0:Relationship Type="http://schemas.openxmlformats.org/officeDocument/2006/relationships/hyperlink" Target="https://www.digikey.com/en/products/detail/nexperia-usa-inc/74AUP1G07GW-125/1300720" TargetMode="External" Id="Rcc3d296aceb54aa0" /><ns0:Relationship Type="http://schemas.openxmlformats.org/officeDocument/2006/relationships/hyperlink" Target="https://www.digikey.com/en/products/detail/analog-devices-inc/LTC4359IMS8-TRPBF/3306830" TargetMode="External" Id="R56725b5da46b4b27" /><ns0:Relationship Type="http://schemas.openxmlformats.org/officeDocument/2006/relationships/hyperlink" Target="https://www.digikey.com/en/products/detail/littelfuse-inc/029707-5WXNV/146586" TargetMode="External" Id="Re8752e39640d463a" /><ns0:Relationship Type="http://schemas.openxmlformats.org/officeDocument/2006/relationships/comments" Target="/xl/comments1.xml" Id="Rf1ccd6c82b5c4551" /><ns0:Relationship Type="http://schemas.openxmlformats.org/officeDocument/2006/relationships/vmlDrawing" Target="/xl/drawings/vmldrawing.vml" Id="R6e6572da3f844c05" /><ns0:Relationship Type="http://schemas.microsoft.com/office/2017/10/relationships/threadedComment" Target="/xl/threadedcomments/threadedcomment.xml" Id="Ra4b8e3dbb87f4b10" /></ns0: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8" topLeftCell="B9" activePane="bottomRight" state="frozen"/>
    </x:sheetView>
  </x:sheetViews>
  <x:sheetFormatPr defaultColWidth="11.53515625" defaultRowHeight="12.800000190734863"/>
  <x:cols>
    <x:col min="1" max="1" width="25.149999618530273" hidden="0" customWidth="1"/>
    <x:col min="2" max="2" width="29.18000030517578" hidden="0" customWidth="1"/>
    <x:col min="3" max="3" width="23.139999389648438" hidden="0" customWidth="1"/>
    <x:col min="4" max="4" width="37.220001220703125" hidden="0" customWidth="1"/>
    <x:col min="5" max="5" width="13.079999923706055" hidden="0" customWidth="1"/>
    <x:col min="6" max="6" width="11.069999694824219" hidden="0" customWidth="1"/>
    <x:col min="7" max="7" width="13.079999923706055" hidden="0" customWidth="1"/>
    <x:col min="8" max="8" width="16.100000381469727" hidden="0" customWidth="1"/>
    <x:col min="9" max="10" width="18.110000610351562" hidden="0" customWidth="1"/>
    <x:col min="11" max="12" width="22.139999389648438" hidden="0" customWidth="1"/>
    <x:col min="13" max="13" width="35.220001220703125" hidden="0" customWidth="1"/>
    <x:col min="14" max="14" width="15.09000015258789" hidden="0" customWidth="1"/>
    <x:col min="15" max="1024" width="8.720000267028809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65" hidden="0" customWidth="1"/>
    <x:col min="23" max="23" width="28" hidden="0" customWidth="1"/>
    <x:col min="24" max="24" width="18" hidden="0" customWidth="1"/>
    <x:col min="25" max="25" width="65" hidden="0" customWidth="1"/>
  </x:cols>
  <x:sheetData>
    <x:row r="1" ht="27" hidden="0" customHeight="1">
      <x:c r="A1" s="1" t="str">
        <x:v>Osiris PDB REV1.1 XT60 — Procurement and PnP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hidden="0" customHeight="1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P2" s="26" t="str">
        <x:v>PnP purchasing guidance — October 7, 2026</x:v>
      </x:c>
      <x:c r="Q2" s="26"/>
      <x:c r="R2" s="26"/>
      <x:c r="S2" s="26"/>
      <x:c r="T2" s="26"/>
      <x:c r="U2" s="26"/>
    </x:row>
    <x:row r="3" ht="24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P3" s="26" t="str">
        <x:v>Passives: MAX(100, 10 × required qty). All other parts: +20%, rounded up.</x:v>
      </x:c>
      <x:c r="Q3" s="26"/>
      <x:c r="R3" s="26"/>
      <x:c r="S3" s="26"/>
      <x:c r="T3" s="26"/>
      <x:c r="U3" s="26"/>
    </x:row>
    <x:row r="4" ht="24" hidden="0" customHeight="1">
      <x:c r="A4" s="1" t="s">
        <x:v>1</x:v>
      </x:c>
      <x:c r="B4" s="4" t="n">
        <x:v>5</x:v>
      </x:c>
      <x:c r="C4" s="1"/>
      <x:c r="D4" s="1" t="s">
        <x:v>2</x:v>
      </x:c>
      <x:c r="E4" s="5" t="n">
        <x:f aca="0">SUM(I9:I50)</x:f>
        <x:v>52.25699999999999</x:v>
      </x:c>
      <x:c r="F4" s="1"/>
      <x:c r="G4" s="1" t="s">
        <x:v>3</x:v>
      </x:c>
      <x:c r="H4" s="5" t="n">
        <x:f aca="0">SUM(J9:J50)</x:f>
        <x:v>261.28499999999997</x:v>
      </x:c>
      <x:c r="I4" s="1"/>
      <x:c r="J4" s="1"/>
      <x:c r="K4" s="1" t="s">
        <x:v>4</x:v>
      </x:c>
      <x:c r="L4" s="1" t="n">
        <x:f aca="0">COUNTIFS(M9:M50,"Short stock")</x:f>
        <x:v>7</x:v>
      </x:c>
      <x:c r="M4" s="1" t="str">
        <x:v>Unconfirmed stock</x:v>
      </x:c>
      <x:c r="N4" s="1" t="n">
        <x:f>COUNTBLANK(N9:N50)</x:f>
        <x:v>3</x:v>
      </x:c>
      <x:c r="P4" s="26" t="str">
        <x:v>Full reels preferred. Use Digi-Reel/equivalent extenders for small tape orders.</x:v>
      </x:c>
      <x:c r="Q4" s="26"/>
      <x:c r="R4" s="26"/>
      <x:c r="S4" s="26"/>
      <x:c r="T4" s="26"/>
      <x:c r="U4" s="26"/>
    </x:row>
    <x:row r="5" ht="24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P5" s="26" t="str">
        <x:v>Yellow override: round up for reel/MOQ. Recheck stock and prices at checkout.</x:v>
      </x:c>
      <x:c r="Q5" s="26"/>
      <x:c r="R5" s="26"/>
      <x:c r="S5" s="26"/>
      <x:c r="T5" s="26"/>
      <x:c r="U5" s="26"/>
    </x:row>
    <x:row r="6" ht="24" hidden="0" customHeight="1">
      <x:c r="A6" s="6" t="str">
        <x:v>USD. Prices remain October 5, 2026 estimates. Stock and links checked October 8, 2026. PCB fabrication, assembly, freight, taxes, tariffs and reel fees excluded.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P6" s="26" t="str">
        <x:v>Stencil frame: 370 × 470 mm. Ryan to review thickness; Dr. Morton to confirm.</x:v>
      </x:c>
      <x:c r="Q6" s="26"/>
      <x:c r="R6" s="26"/>
      <x:c r="S6" s="26"/>
      <x:c r="T6" s="26"/>
      <x:c r="U6" s="26"/>
    </x:row>
    <x:row r="7" ht="24" hidden="0" customHeight="1">
      <x:c r="A7" s="6" t="str">
        <x:v>REV1.1 protection correction: D5 SMBJ18CA; C17 330 uF / 50 V. Two replacement parts need fresh quotes; totals exclude unquoted parts. See Calculations and PROTECTION_FIX_STATUS.md.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P7" s="26" t="str">
        <x:v>Paste: consult Dr. Morton. PnP model/feeders: awaiting Dr. Cao.</x:v>
      </x:c>
      <x:c r="Q7" s="26"/>
      <x:c r="R7" s="26"/>
      <x:c r="S7" s="26"/>
      <x:c r="T7" s="26"/>
      <x:c r="U7" s="26"/>
    </x:row>
    <x:row r="8" ht="42" hidden="0" customHeight="1">
      <x:c r="A8" s="7" t="s">
        <x:v>5</x:v>
      </x:c>
      <x:c r="B8" s="8" t="s">
        <x:v>6</x:v>
      </x:c>
      <x:c r="C8" s="8" t="s">
        <x:v>7</x:v>
      </x:c>
      <x:c r="D8" s="8" t="s">
        <x:v>8</x:v>
      </x:c>
      <x:c r="E8" s="8" t="s">
        <x:v>9</x:v>
      </x:c>
      <x:c r="F8" s="8" t="s">
        <x:v>10</x:v>
      </x:c>
      <x:c r="G8" s="8" t="s">
        <x:v>11</x:v>
      </x:c>
      <x:c r="H8" s="8" t="s">
        <x:v>12</x:v>
      </x:c>
      <x:c r="I8" s="8" t="s">
        <x:v>13</x:v>
      </x:c>
      <x:c r="J8" s="8" t="s">
        <x:v>14</x:v>
      </x:c>
      <x:c r="K8" s="8" t="s">
        <x:v>15</x:v>
      </x:c>
      <x:c r="L8" s="8" t="s">
        <x:v>16</x:v>
      </x:c>
      <x:c r="M8" s="8" t="str">
        <x:v>Stock vs order qty</x:v>
      </x:c>
      <x:c r="N8" s="9" t="str">
        <x:v>Reported stock</x:v>
      </x:c>
      <x:c r="P8" s="25" t="str">
        <x:v>Minimum buy qty</x:v>
      </x:c>
      <x:c r="Q8" s="25" t="str">
        <x:v>Order qty override</x:v>
      </x:c>
      <x:c r="R8" s="25" t="str">
        <x:v>Order qty</x:v>
      </x:c>
      <x:c r="S8" s="25" t="str">
        <x:v>Order cost (USD)</x:v>
      </x:c>
      <x:c r="T8" s="25" t="str">
        <x:v>Quantity rule</x:v>
      </x:c>
      <x:c r="U8" s="25" t="str">
        <x:v>Buyer comments</x:v>
      </x:c>
      <x:c r="W8" s="37" t="str">
        <x:v>Purchase link check</x:v>
      </x:c>
      <x:c r="X8" s="37" t="str">
        <x:v>Stock checked</x:v>
      </x:c>
      <x:c r="Y8" s="37" t="str">
        <x:v>Stock details</x:v>
      </x:c>
    </x:row>
    <x:row r="9" ht="27" hidden="0" customHeight="1">
      <x:c r="A9" s="10" t="s">
        <x:v>17</x:v>
      </x:c>
      <x:c r="B9" s="10" t="s">
        <x:v>18</x:v>
      </x:c>
      <x:c r="C9" s="10" t="s">
        <x:v>19</x:v>
      </x:c>
      <x:c r="D9" s="10" t="s">
        <x:v>20</x:v>
      </x:c>
      <x:c r="E9" s="1" t="s">
        <x:v>21</x:v>
      </x:c>
      <x:c r="F9" s="11" t="n">
        <x:v>1</x:v>
      </x:c>
      <x:c r="G9" s="11" t="n">
        <x:f aca="0">F9*$B$4</x:f>
        <x:v>5</x:v>
      </x:c>
      <x:c r="H9" s="12" t="n">
        <x:f aca="0">IF(R9&gt;=500,0.09666,IF(R9&gt;=100,0.1236,IF(R9&gt;=50,0.1396,IF(R9&gt;=10,0.192,0.33))))</x:f>
        <x:v>0.1236</x:v>
      </x:c>
      <x:c r="I9" s="13" t="n">
        <x:f aca="0">IF(ISNUMBER(H9),F9*H9,"")</x:f>
        <x:v>0.1236</x:v>
      </x:c>
      <x:c r="J9" s="13" t="n">
        <x:f aca="0">IF(ISNUMBER(H9),G9*H9,"")</x:f>
        <x:v>0.618</x:v>
      </x:c>
      <x:c r="K9" s="14" t="s">
        <x:v>22</x:v>
      </x:c>
      <x:c r="L9" s="1" t="s">
        <x:v>23</x:v>
      </x:c>
      <x:c r="M9" s="1" t="str">
        <x:f>IF(ISNUMBER(N9),IF(N9&lt;R9,"Short stock","Available"),"Stock unconfirmed")</x:f>
        <x:v>Available</x:v>
      </x:c>
      <x:c r="N9" s="39" t="n">
        <x:v>32275</x:v>
      </x:c>
      <x:c r="P9" s="29" t="n">
        <x:f>IF(G9=0,0,MAX(100,10*G9))</x:f>
        <x:v>100</x:v>
      </x:c>
      <x:c r="Q9" s="30"/>
      <x:c r="R9" s="29" t="n">
        <x:f>IF(Q9="",P9,MAX(P9,Q9))</x:f>
        <x:v>100</x:v>
      </x:c>
      <x:c r="S9" s="31" t="n">
        <x:f>IF(ISNUMBER(H9),R9*H9,"")</x:f>
        <x:v>12.36</x:v>
      </x:c>
      <x:c r="T9" s="26" t="str">
        <x:v>Passive: 100 or 10×</x:v>
      </x:c>
      <x:c r="U9" s="27" t="str">
        <x:v>Full reel preferred. Small orders: Digi-Reel with tape and cover-tape extenders.</x:v>
      </x:c>
      <x:c r="W9" s="27" t="str">
        <x:v>Repaired; page verified</x:v>
      </x:c>
      <x:c r="X9" s="38" t="d">
        <x:v>2026-10-08T00:00:00.000Z</x:v>
      </x:c>
      <x:c r="Y9" s="27" t="str">
        <x:v>Exact MPN matched; reported stock. Confirm at checkout.</x:v>
      </x:c>
    </x:row>
    <x:row r="10" ht="27" hidden="0" customHeight="1">
      <x:c r="A10" s="15" t="s">
        <x:v>24</x:v>
      </x:c>
      <x:c r="B10" s="15" t="s">
        <x:v>25</x:v>
      </x:c>
      <x:c r="C10" s="15" t="s">
        <x:v>19</x:v>
      </x:c>
      <x:c r="D10" s="15" t="s">
        <x:v>26</x:v>
      </x:c>
      <x:c r="E10" s="16" t="s">
        <x:v>21</x:v>
      </x:c>
      <x:c r="F10" s="17" t="n">
        <x:v>2</x:v>
      </x:c>
      <x:c r="G10" s="17" t="n">
        <x:f aca="0">F10*$B$4</x:f>
        <x:v>10</x:v>
      </x:c>
      <x:c r="H10" s="18" t="n">
        <x:f aca="0">IF(R10&gt;=100,0.0892,IF(R10&gt;=50,0.1014,IF(R10&gt;=10,0.141,0.24)))</x:f>
        <x:v>0.0892</x:v>
      </x:c>
      <x:c r="I10" s="19" t="n">
        <x:f aca="0">IF(ISNUMBER(H10),F10*H10,"")</x:f>
        <x:v>0.1784</x:v>
      </x:c>
      <x:c r="J10" s="19" t="n">
        <x:f aca="0">IF(ISNUMBER(H10),G10*H10,"")</x:f>
        <x:v>0.892</x:v>
      </x:c>
      <x:c r="K10" s="20" t="s">
        <x:v>22</x:v>
      </x:c>
      <x:c r="L10" s="16" t="s">
        <x:v>23</x:v>
      </x:c>
      <x:c r="M10" s="16" t="str">
        <x:f aca="0">IF(ISNUMBER(N10),IF(N10&lt;R10,"Short stock","Available"),"Stock unconfirmed")</x:f>
        <x:v>Short stock</x:v>
      </x:c>
      <x:c r="N10" s="40" t="n">
        <x:v>0</x:v>
      </x:c>
      <x:c r="P10" s="29" t="n">
        <x:f>IF(G10=0,0,MAX(100,10*G10))</x:f>
        <x:v>100</x:v>
      </x:c>
      <x:c r="Q10" s="30"/>
      <x:c r="R10" s="29" t="n">
        <x:f>IF(Q10="",P10,MAX(P10,Q10))</x:f>
        <x:v>100</x:v>
      </x:c>
      <x:c r="S10" s="31" t="n">
        <x:f>IF(ISNUMBER(H10),R10*H10,"")</x:f>
        <x:v>8.92</x:v>
      </x:c>
      <x:c r="T10" s="26" t="str">
        <x:v>Passive: 100 or 10×</x:v>
      </x:c>
      <x:c r="U10" s="27" t="str">
        <x:v>Full reel preferred. Small orders: Digi-Reel with tape and cover-tape extenders.</x:v>
      </x:c>
      <x:c r="W10" s="27" t="str">
        <x:v>Repaired; page verified</x:v>
      </x:c>
      <x:c r="X10" s="38" t="d">
        <x:v>2026-10-08T00:00:00.000Z</x:v>
      </x:c>
      <x:c r="Y10" s="27" t="str">
        <x:v>Supplier expects 2,000 on Dec 1, 2026. Expected arrivals are estimates.</x:v>
      </x:c>
    </x:row>
    <x:row r="11" ht="27" hidden="0" customHeight="1">
      <x:c r="A11" s="10" t="s">
        <x:v>27</x:v>
      </x:c>
      <x:c r="B11" s="10" t="s">
        <x:v>28</x:v>
      </x:c>
      <x:c r="C11" s="10" t="s">
        <x:v>29</x:v>
      </x:c>
      <x:c r="D11" s="10" t="s">
        <x:v>30</x:v>
      </x:c>
      <x:c r="E11" s="1" t="s">
        <x:v>21</x:v>
      </x:c>
      <x:c r="F11" s="11" t="n">
        <x:v>4</x:v>
      </x:c>
      <x:c r="G11" s="11" t="n">
        <x:f aca="0">F11*$B$4</x:f>
        <x:v>20</x:v>
      </x:c>
      <x:c r="H11" s="12" t="n">
        <x:f aca="0">IF(R11&gt;=500,0.03184,IF(R11&gt;=100,0.0434,IF(R11&gt;=50,0.0504,IF(R11&gt;=10,0.073,0.13))))</x:f>
        <x:v>0.0434</x:v>
      </x:c>
      <x:c r="I11" s="13" t="n">
        <x:f aca="0">IF(ISNUMBER(H11),F11*H11,"")</x:f>
        <x:v>0.1736</x:v>
      </x:c>
      <x:c r="J11" s="13" t="n">
        <x:f aca="0">IF(ISNUMBER(H11),G11*H11,"")</x:f>
        <x:v>0.868</x:v>
      </x:c>
      <x:c r="K11" s="14" t="s">
        <x:v>22</x:v>
      </x:c>
      <x:c r="L11" s="1" t="s">
        <x:v>23</x:v>
      </x:c>
      <x:c r="M11" s="1" t="str">
        <x:f aca="0">IF(ISNUMBER(N11),IF(N11&lt;R11,"Short stock","Available"),"Stock unconfirmed")</x:f>
        <x:v>Available</x:v>
      </x:c>
      <x:c r="N11" s="39" t="n">
        <x:v>6710508</x:v>
      </x:c>
      <x:c r="P11" s="29" t="n">
        <x:f>IF(G11=0,0,MAX(100,10*G11))</x:f>
        <x:v>200</x:v>
      </x:c>
      <x:c r="Q11" s="30"/>
      <x:c r="R11" s="29" t="n">
        <x:f>IF(Q11="",P11,MAX(P11,Q11))</x:f>
        <x:v>200</x:v>
      </x:c>
      <x:c r="S11" s="31" t="n">
        <x:f>IF(ISNUMBER(H11),R11*H11,"")</x:f>
        <x:v>8.68</x:v>
      </x:c>
      <x:c r="T11" s="26" t="str">
        <x:v>Passive: 100 or 10×</x:v>
      </x:c>
      <x:c r="U11" s="27" t="str">
        <x:v>Full reel preferred. Small orders: Digi-Reel with tape and cover-tape extenders.</x:v>
      </x:c>
      <x:c r="W11" s="27" t="str">
        <x:v>Repaired; page verified</x:v>
      </x:c>
      <x:c r="X11" s="38" t="d">
        <x:v>2026-10-08T00:00:00.000Z</x:v>
      </x:c>
      <x:c r="Y11" s="27" t="str">
        <x:v>Exact MPN matched; reported stock. Confirm at checkout.</x:v>
      </x:c>
    </x:row>
    <x:row r="12" ht="27" hidden="0" customHeight="1">
      <x:c r="A12" s="15" t="s">
        <x:v>31</x:v>
      </x:c>
      <x:c r="B12" s="15" t="s">
        <x:v>32</x:v>
      </x:c>
      <x:c r="C12" s="15" t="s">
        <x:v>19</x:v>
      </x:c>
      <x:c r="D12" s="15" t="s">
        <x:v>33</x:v>
      </x:c>
      <x:c r="E12" s="16" t="s">
        <x:v>21</x:v>
      </x:c>
      <x:c r="F12" s="17" t="n">
        <x:v>2</x:v>
      </x:c>
      <x:c r="G12" s="17" t="n">
        <x:f aca="0">F12*$B$4</x:f>
        <x:v>10</x:v>
      </x:c>
      <x:c r="H12" s="18" t="n">
        <x:f aca="0">IF(R12&gt;=500,0.36358,IF(R12&gt;=100,0.4366,IF(R12&gt;=50,0.4798,IF(R12&gt;=10,0.62,0.98))))</x:f>
        <x:v>0.4366</x:v>
      </x:c>
      <x:c r="I12" s="19" t="n">
        <x:f aca="0">IF(ISNUMBER(H12),F12*H12,"")</x:f>
        <x:v>0.8732</x:v>
      </x:c>
      <x:c r="J12" s="19" t="n">
        <x:f aca="0">IF(ISNUMBER(H12),G12*H12,"")</x:f>
        <x:v>4.366</x:v>
      </x:c>
      <x:c r="K12" s="20" t="s">
        <x:v>22</x:v>
      </x:c>
      <x:c r="L12" s="16" t="s">
        <x:v>23</x:v>
      </x:c>
      <x:c r="M12" s="16" t="str">
        <x:f aca="0">IF(ISNUMBER(N12),IF(N12&lt;R12,"Short stock","Available"),"Stock unconfirmed")</x:f>
        <x:v>Short stock</x:v>
      </x:c>
      <x:c r="N12" s="40" t="n">
        <x:v>0</x:v>
      </x:c>
      <x:c r="P12" s="29" t="n">
        <x:f>IF(G12=0,0,MAX(100,10*G12))</x:f>
        <x:v>100</x:v>
      </x:c>
      <x:c r="Q12" s="30"/>
      <x:c r="R12" s="29" t="n">
        <x:f>IF(Q12="",P12,MAX(P12,Q12))</x:f>
        <x:v>100</x:v>
      </x:c>
      <x:c r="S12" s="31" t="n">
        <x:f>IF(ISNUMBER(H12),R12*H12,"")</x:f>
        <x:v>43.66</x:v>
      </x:c>
      <x:c r="T12" s="26" t="str">
        <x:v>Passive: 100 or 10×</x:v>
      </x:c>
      <x:c r="U12" s="27" t="str">
        <x:v>Full reel preferred. Small orders: Digi-Reel with tape and cover-tape extenders.</x:v>
      </x:c>
      <x:c r="W12" s="27" t="str">
        <x:v>Repaired; page verified</x:v>
      </x:c>
      <x:c r="X12" s="38" t="d">
        <x:v>2026-10-08T00:00:00.000Z</x:v>
      </x:c>
      <x:c r="Y12" s="27" t="str">
        <x:v>Supplier expects 2,000 on Dec 14, 2026. Expected arrivals are estimates.</x:v>
      </x:c>
    </x:row>
    <x:row r="13" ht="27" hidden="0" customHeight="1">
      <x:c r="A13" s="10" t="s">
        <x:v>34</x:v>
      </x:c>
      <x:c r="B13" s="10" t="s">
        <x:v>32</x:v>
      </x:c>
      <x:c r="C13" s="10" t="s">
        <x:v>19</x:v>
      </x:c>
      <x:c r="D13" s="10" t="s">
        <x:v>35</x:v>
      </x:c>
      <x:c r="E13" s="1" t="s">
        <x:v>21</x:v>
      </x:c>
      <x:c r="F13" s="11" t="n">
        <x:v>1</x:v>
      </x:c>
      <x:c r="G13" s="11" t="n">
        <x:f aca="0">F13*$B$4</x:f>
        <x:v>5</x:v>
      </x:c>
      <x:c r="H13" s="12" t="n">
        <x:f aca="0">IF(R13&gt;=100,0.1218,IF(R13&gt;=50,0.1376,IF(R13&gt;=10,0.189,0.32)))</x:f>
        <x:v>0.1218</x:v>
      </x:c>
      <x:c r="I13" s="13" t="n">
        <x:f aca="0">IF(ISNUMBER(H13),F13*H13,"")</x:f>
        <x:v>0.1218</x:v>
      </x:c>
      <x:c r="J13" s="13" t="n">
        <x:f aca="0">IF(ISNUMBER(H13),G13*H13,"")</x:f>
        <x:v>0.609</x:v>
      </x:c>
      <x:c r="K13" s="14" t="s">
        <x:v>22</x:v>
      </x:c>
      <x:c r="L13" s="1" t="s">
        <x:v>23</x:v>
      </x:c>
      <x:c r="M13" s="1" t="str">
        <x:f aca="0">IF(ISNUMBER(N13),IF(N13&lt;R13,"Short stock","Available"),"Stock unconfirmed")</x:f>
        <x:v>Short stock</x:v>
      </x:c>
      <x:c r="N13" s="39" t="n">
        <x:v>20</x:v>
      </x:c>
      <x:c r="P13" s="29" t="n">
        <x:f>IF(G13=0,0,MAX(100,10*G13))</x:f>
        <x:v>100</x:v>
      </x:c>
      <x:c r="Q13" s="30"/>
      <x:c r="R13" s="29" t="n">
        <x:f>IF(Q13="",P13,MAX(P13,Q13))</x:f>
        <x:v>100</x:v>
      </x:c>
      <x:c r="S13" s="31" t="n">
        <x:f>IF(ISNUMBER(H13),R13*H13,"")</x:f>
        <x:v>12.18</x:v>
      </x:c>
      <x:c r="T13" s="26" t="str">
        <x:v>Passive: 100 or 10×</x:v>
      </x:c>
      <x:c r="U13" s="27" t="str">
        <x:v>Full reel preferred. Small orders: Digi-Reel with tape and cover-tape extenders.</x:v>
      </x:c>
      <x:c r="W13" s="27" t="str">
        <x:v>Repaired; page verified</x:v>
      </x:c>
      <x:c r="X13" s="38" t="d">
        <x:v>2026-10-08T00:00:00.000Z</x:v>
      </x:c>
      <x:c r="Y13" s="27" t="str">
        <x:v>Only 20 reported; order minimum is 100. Source more of the same MPN or approve a substitute.</x:v>
      </x:c>
    </x:row>
    <x:row r="14" ht="27" hidden="0" customHeight="1">
      <x:c r="A14" s="15" t="s">
        <x:v>36</x:v>
      </x:c>
      <x:c r="B14" s="15" t="s">
        <x:v>28</x:v>
      </x:c>
      <x:c r="C14" s="15" t="s">
        <x:v>19</x:v>
      </x:c>
      <x:c r="D14" s="15" t="s">
        <x:v>37</x:v>
      </x:c>
      <x:c r="E14" s="16" t="s">
        <x:v>21</x:v>
      </x:c>
      <x:c r="F14" s="17" t="n">
        <x:v>1</x:v>
      </x:c>
      <x:c r="G14" s="17" t="n">
        <x:f aca="0">F14*$B$4</x:f>
        <x:v>5</x:v>
      </x:c>
      <x:c r="H14" s="18" t="n">
        <x:f aca="0">IF(R14&gt;=500,0.02634,IF(R14&gt;=100,0.0359,IF(R14&gt;=50,0.0416,IF(R14&gt;=10,0.06,0.11))))</x:f>
        <x:v>0.0359</x:v>
      </x:c>
      <x:c r="I14" s="19" t="n">
        <x:f aca="0">IF(ISNUMBER(H14),F14*H14,"")</x:f>
        <x:v>0.0359</x:v>
      </x:c>
      <x:c r="J14" s="19" t="n">
        <x:f aca="0">IF(ISNUMBER(H14),G14*H14,"")</x:f>
        <x:v>0.1795</x:v>
      </x:c>
      <x:c r="K14" s="20" t="s">
        <x:v>22</x:v>
      </x:c>
      <x:c r="L14" s="16" t="s">
        <x:v>23</x:v>
      </x:c>
      <x:c r="M14" s="16" t="str">
        <x:f aca="0">IF(ISNUMBER(N14),IF(N14&lt;R14,"Short stock","Available"),"Stock unconfirmed")</x:f>
        <x:v>Short stock</x:v>
      </x:c>
      <x:c r="N14" s="40" t="n">
        <x:v>0</x:v>
      </x:c>
      <x:c r="P14" s="29" t="n">
        <x:f>IF(G14=0,0,MAX(100,10*G14))</x:f>
        <x:v>100</x:v>
      </x:c>
      <x:c r="Q14" s="30"/>
      <x:c r="R14" s="29" t="n">
        <x:f>IF(Q14="",P14,MAX(P14,Q14))</x:f>
        <x:v>100</x:v>
      </x:c>
      <x:c r="S14" s="31" t="n">
        <x:f>IF(ISNUMBER(H14),R14*H14,"")</x:f>
        <x:v>3.5900000000000003</x:v>
      </x:c>
      <x:c r="T14" s="26" t="str">
        <x:v>Passive: 100 or 10×</x:v>
      </x:c>
      <x:c r="U14" s="27" t="str">
        <x:v>Full reel preferred. Small orders: Digi-Reel with tape and cover-tape extenders.</x:v>
      </x:c>
      <x:c r="W14" s="27" t="str">
        <x:v>Repaired; page verified</x:v>
      </x:c>
      <x:c r="X14" s="38" t="d">
        <x:v>2026-10-08T00:00:00.000Z</x:v>
      </x:c>
      <x:c r="Y14" s="27" t="str">
        <x:v>Supplier expects 4,000 on Oct 21, 2026. Expected arrivals are estimates.</x:v>
      </x:c>
    </x:row>
    <x:row r="15" ht="27" hidden="0" customHeight="1">
      <x:c r="A15" s="10" t="s">
        <x:v>38</x:v>
      </x:c>
      <x:c r="B15" s="10" t="s">
        <x:v>39</x:v>
      </x:c>
      <x:c r="C15" s="10" t="s">
        <x:v>19</x:v>
      </x:c>
      <x:c r="D15" s="10" t="s">
        <x:v>40</x:v>
      </x:c>
      <x:c r="E15" s="1" t="s">
        <x:v>21</x:v>
      </x:c>
      <x:c r="F15" s="11" t="n">
        <x:v>6</x:v>
      </x:c>
      <x:c r="G15" s="11" t="n">
        <x:f aca="0">F15*$B$4</x:f>
        <x:v>30</x:v>
      </x:c>
      <x:c r="H15" s="12" t="n">
        <x:f aca="0">IF(R15&gt;=500,0.29306,IF(R15&gt;=100,0.3543,IF(R15&gt;=50,0.3906,IF(R15&gt;=10,0.508,0.81))))</x:f>
        <x:v>0.3543</x:v>
      </x:c>
      <x:c r="I15" s="13" t="n">
        <x:f aca="0">IF(ISNUMBER(H15),F15*H15,"")</x:f>
        <x:v>2.1258</x:v>
      </x:c>
      <x:c r="J15" s="13" t="n">
        <x:f aca="0">IF(ISNUMBER(H15),G15*H15,"")</x:f>
        <x:v>10.629</x:v>
      </x:c>
      <x:c r="K15" s="14" t="s">
        <x:v>22</x:v>
      </x:c>
      <x:c r="L15" s="1" t="s">
        <x:v>23</x:v>
      </x:c>
      <x:c r="M15" s="1" t="str">
        <x:f aca="0">IF(ISNUMBER(N15),IF(N15&lt;R15,"Short stock","Available"),"Stock unconfirmed")</x:f>
        <x:v>Short stock</x:v>
      </x:c>
      <x:c r="N15" s="39" t="n">
        <x:v>1</x:v>
      </x:c>
      <x:c r="P15" s="29" t="n">
        <x:f>IF(G15=0,0,MAX(100,10*G15))</x:f>
        <x:v>300</x:v>
      </x:c>
      <x:c r="Q15" s="30"/>
      <x:c r="R15" s="29" t="n">
        <x:f>IF(Q15="",P15,MAX(P15,Q15))</x:f>
        <x:v>300</x:v>
      </x:c>
      <x:c r="S15" s="31" t="n">
        <x:f>IF(ISNUMBER(H15),R15*H15,"")</x:f>
        <x:v>106.29</x:v>
      </x:c>
      <x:c r="T15" s="26" t="str">
        <x:v>Passive: 100 or 10×</x:v>
      </x:c>
      <x:c r="U15" s="27" t="str">
        <x:v>Confirm handling of this leaded capacitor with assembly team. Full reel preferred. Small orders: Digi-Reel with tape and cover-tape extenders.</x:v>
      </x:c>
      <x:c r="W15" s="27" t="str">
        <x:v>Repaired; page verified</x:v>
      </x:c>
      <x:c r="X15" s="38" t="d">
        <x:v>2026-10-08T00:00:00.000Z</x:v>
      </x:c>
      <x:c r="Y15" s="27" t="str">
        <x:v>Only 1 reported; order minimum is 300. Source more of the same MPN or approve a substitute.</x:v>
      </x:c>
    </x:row>
    <x:row r="16" ht="27" hidden="0" customHeight="1">
      <x:c r="A16" s="15" t="s">
        <x:v>41</x:v>
      </x:c>
      <x:c r="B16" s="15" t="str">
        <x:v>330 uF / 50 V hybrid capacitor</x:v>
      </x:c>
      <x:c r="C16" s="15" t="s">
        <x:v>42</x:v>
      </x:c>
      <x:c r="D16" s="15" t="str">
        <x:v>EEHZL1H331P</x:v>
      </x:c>
      <x:c r="E16" s="16" t="s">
        <x:v>21</x:v>
      </x:c>
      <x:c r="F16" s="17" t="n">
        <x:v>1</x:v>
      </x:c>
      <x:c r="G16" s="17" t="n">
        <x:f aca="0">F16*$B$4</x:f>
        <x:v>5</x:v>
      </x:c>
      <x:c r="H16" s="18">
        <x:f aca="0"/>
      </x:c>
      <x:c r="I16" s="19" t="str">
        <x:f aca="0">IF(ISNUMBER(H16),F16*H16,"")</x:f>
      </x:c>
      <x:c r="J16" s="19" t="str">
        <x:f aca="0">IF(ISNUMBER(H16),G16*H16,"")</x:f>
      </x:c>
      <x:c r="K16" s="20" t="str">
        <x:v>Updated part: quote required</x:v>
      </x:c>
      <x:c r="L16" s="16" t="str">
        <x:v>Unquoted replacement</x:v>
      </x:c>
      <x:c r="M16" s="16" t="str">
        <x:f aca="0"/>
        <x:v>Stock unconfirmed</x:v>
      </x:c>
      <x:c r="N16" s="40"/>
      <x:c r="P16" s="29" t="n">
        <x:f>IF(G16=0,0,MAX(100,10*G16))</x:f>
        <x:v>100</x:v>
      </x:c>
      <x:c r="Q16" s="30"/>
      <x:c r="R16" s="29" t="n">
        <x:f>IF(Q16="",P16,MAX(P16,Q16))</x:f>
        <x:v>100</x:v>
      </x:c>
      <x:c r="S16" s="31" t="str">
        <x:f>IF(ISNUMBER(H16),R16*H16,"")</x:f>
      </x:c>
      <x:c r="T16" s="26" t="str">
        <x:v>Passive: 100 or 10×</x:v>
      </x:c>
      <x:c r="U16" s="27" t="str">
        <x:v>Full reel preferred. Small orders: Digi-Reel with tape and cover-tape extenders.</x:v>
      </x:c>
      <x:c r="W16" s="27" t="str">
        <x:v>Replacement; sourcing unverified</x:v>
      </x:c>
      <x:c r="X16" s="38"/>
      <x:c r="Y16" s="27" t="str">
        <x:v>Previous part price/stock no longer applies. Source: https://industrial.panasonic.com/ww/products/pt/hybrid-aluminum/models/EEHZL1H331P</x:v>
      </x:c>
    </x:row>
    <x:row r="17" ht="27" hidden="0" customHeight="1">
      <x:c r="A17" s="10" t="s">
        <x:v>43</x:v>
      </x:c>
      <x:c r="B17" s="10" t="s">
        <x:v>44</x:v>
      </x:c>
      <x:c r="C17" s="10" t="s">
        <x:v>29</x:v>
      </x:c>
      <x:c r="D17" s="10" t="s">
        <x:v>45</x:v>
      </x:c>
      <x:c r="E17" s="1" t="s">
        <x:v>21</x:v>
      </x:c>
      <x:c r="F17" s="11" t="n">
        <x:v>1</x:v>
      </x:c>
      <x:c r="G17" s="11" t="n">
        <x:f aca="0">F17*$B$4</x:f>
        <x:v>5</x:v>
      </x:c>
      <x:c r="H17" s="12" t="n">
        <x:f aca="0">IF(R17&gt;=500,0.0454,IF(R17&gt;=100,0.0608,IF(R17&gt;=50,0.07,IF(R17&gt;=10,0.1,0.18))))</x:f>
        <x:v>0.0608</x:v>
      </x:c>
      <x:c r="I17" s="13" t="n">
        <x:f aca="0">IF(ISNUMBER(H17),F17*H17,"")</x:f>
        <x:v>0.0608</x:v>
      </x:c>
      <x:c r="J17" s="13" t="n">
        <x:f aca="0">IF(ISNUMBER(H17),G17*H17,"")</x:f>
        <x:v>0.304</x:v>
      </x:c>
      <x:c r="K17" s="14" t="s">
        <x:v>22</x:v>
      </x:c>
      <x:c r="L17" s="1" t="s">
        <x:v>23</x:v>
      </x:c>
      <x:c r="M17" s="1" t="str">
        <x:f>IF(ISNUMBER(N17),IF(N17&lt;R17,"Short stock","Available"),"Stock unconfirmed")</x:f>
        <x:v>Available</x:v>
      </x:c>
      <x:c r="N17" s="39" t="n">
        <x:v>6375398</x:v>
      </x:c>
      <x:c r="P17" s="29" t="n">
        <x:f>IF(G17=0,0,MAX(100,10*G17))</x:f>
        <x:v>100</x:v>
      </x:c>
      <x:c r="Q17" s="30"/>
      <x:c r="R17" s="29" t="n">
        <x:f>IF(Q17="",P17,MAX(P17,Q17))</x:f>
        <x:v>100</x:v>
      </x:c>
      <x:c r="S17" s="31" t="n">
        <x:f>IF(ISNUMBER(H17),R17*H17,"")</x:f>
        <x:v>6.08</x:v>
      </x:c>
      <x:c r="T17" s="26" t="str">
        <x:v>Passive: 100 or 10×</x:v>
      </x:c>
      <x:c r="U17" s="27" t="str">
        <x:v>Full reel preferred. Small orders: Digi-Reel with tape and cover-tape extenders.</x:v>
      </x:c>
      <x:c r="W17" s="27" t="str">
        <x:v>Repaired; page verified</x:v>
      </x:c>
      <x:c r="X17" s="38" t="d">
        <x:v>2026-10-08T00:00:00.000Z</x:v>
      </x:c>
      <x:c r="Y17" s="27" t="str">
        <x:v>Exact MPN matched; reported stock. Confirm at checkout.</x:v>
      </x:c>
    </x:row>
    <x:row r="18" ht="27" hidden="0" customHeight="1">
      <x:c r="A18" s="15" t="s">
        <x:v>46</x:v>
      </x:c>
      <x:c r="B18" s="15" t="s">
        <x:v>47</x:v>
      </x:c>
      <x:c r="C18" s="15" t="s">
        <x:v>48</x:v>
      </x:c>
      <x:c r="D18" s="15" t="s">
        <x:v>47</x:v>
      </x:c>
      <x:c r="E18" s="16" t="s">
        <x:v>21</x:v>
      </x:c>
      <x:c r="F18" s="17" t="n">
        <x:v>2</x:v>
      </x:c>
      <x:c r="G18" s="17" t="n">
        <x:f aca="0">F18*$B$4</x:f>
        <x:v>10</x:v>
      </x:c>
      <x:c r="H18" s="18" t="n">
        <x:f aca="0">IF(R18&gt;=100,0.2431,IF(R18&gt;=50,0.2772,IF(R18&gt;=10,0.382,0.62)))</x:f>
        <x:v>0.382</x:v>
      </x:c>
      <x:c r="I18" s="19" t="n">
        <x:f aca="0">IF(ISNUMBER(H18),F18*H18,"")</x:f>
        <x:v>0.764</x:v>
      </x:c>
      <x:c r="J18" s="19" t="n">
        <x:f aca="0">IF(ISNUMBER(H18),G18*H18,"")</x:f>
        <x:v>3.8200000000000003</x:v>
      </x:c>
      <x:c r="K18" s="20" t="s">
        <x:v>22</x:v>
      </x:c>
      <x:c r="L18" s="16" t="s">
        <x:v>23</x:v>
      </x:c>
      <x:c r="M18" s="16" t="str">
        <x:f aca="0">IF(ISNUMBER(N18),IF(N18&lt;R18,"Short stock","Available"),"Stock unconfirmed")</x:f>
        <x:v>Available</x:v>
      </x:c>
      <x:c r="N18" s="40" t="n">
        <x:v>48573</x:v>
      </x:c>
      <x:c r="P18" s="29" t="n">
        <x:f>ROUNDUP(G18*1.2,0)</x:f>
        <x:v>12</x:v>
      </x:c>
      <x:c r="Q18" s="30"/>
      <x:c r="R18" s="29" t="n">
        <x:f>IF(Q18="",P18,MAX(P18,Q18))</x:f>
        <x:v>12</x:v>
      </x:c>
      <x:c r="S18" s="31" t="n">
        <x:f>IF(ISNUMBER(H18),R18*H18,"")</x:f>
        <x:v>4.584</x:v>
      </x:c>
      <x:c r="T18" s="26" t="str">
        <x:v>Other: +20%</x:v>
      </x:c>
      <x:c r="U18" s="27" t="str">
        <x:v>Full reel preferred. Small orders: Digi-Reel with tape and cover-tape extenders.</x:v>
      </x:c>
      <x:c r="W18" s="27" t="str">
        <x:v>Repaired; page verified</x:v>
      </x:c>
      <x:c r="X18" s="38" t="d">
        <x:v>2026-10-08T00:00:00.000Z</x:v>
      </x:c>
      <x:c r="Y18" s="27" t="str">
        <x:v>Exact MPN matched; reported stock. Confirm at checkout.</x:v>
      </x:c>
    </x:row>
    <x:row r="19" ht="27" hidden="0" customHeight="1">
      <x:c r="A19" s="10" t="s">
        <x:v>49</x:v>
      </x:c>
      <x:c r="B19" s="10" t="s">
        <x:v>50</x:v>
      </x:c>
      <x:c r="C19" s="10" t="s">
        <x:v>51</x:v>
      </x:c>
      <x:c r="D19" s="10" t="s">
        <x:v>52</x:v>
      </x:c>
      <x:c r="E19" s="1" t="s">
        <x:v>21</x:v>
      </x:c>
      <x:c r="F19" s="11" t="n">
        <x:v>1</x:v>
      </x:c>
      <x:c r="G19" s="11" t="n">
        <x:f aca="0">F19*$B$4</x:f>
        <x:v>5</x:v>
      </x:c>
      <x:c r="H19" s="12" t="n">
        <x:f aca="0">IF(R19&gt;=500,0.48634,IF(R19&gt;=100,0.6225,IF(R19&gt;=50,0.7,IF(R19&gt;=10,0.94,1.49))))</x:f>
        <x:v>1.49</x:v>
      </x:c>
      <x:c r="I19" s="13" t="n">
        <x:f aca="0">IF(ISNUMBER(H19),F19*H19,"")</x:f>
        <x:v>1.49</x:v>
      </x:c>
      <x:c r="J19" s="13" t="n">
        <x:f aca="0">IF(ISNUMBER(H19),G19*H19,"")</x:f>
        <x:v>7.45</x:v>
      </x:c>
      <x:c r="K19" s="14" t="s">
        <x:v>22</x:v>
      </x:c>
      <x:c r="L19" s="1" t="s">
        <x:v>23</x:v>
      </x:c>
      <x:c r="M19" s="1" t="str">
        <x:f aca="0">IF(ISNUMBER(N19),IF(N19&lt;R19,"Short stock","Available"),"Stock unconfirmed")</x:f>
        <x:v>Available</x:v>
      </x:c>
      <x:c r="N19" s="39" t="n">
        <x:v>1082</x:v>
      </x:c>
      <x:c r="P19" s="29" t="n">
        <x:f>ROUNDUP(G19*1.2,0)</x:f>
        <x:v>6</x:v>
      </x:c>
      <x:c r="Q19" s="30"/>
      <x:c r="R19" s="29" t="n">
        <x:f>IF(Q19="",P19,MAX(P19,Q19))</x:f>
        <x:v>6</x:v>
      </x:c>
      <x:c r="S19" s="31" t="n">
        <x:f>IF(ISNUMBER(H19),R19*H19,"")</x:f>
        <x:v>8.94</x:v>
      </x:c>
      <x:c r="T19" s="26" t="str">
        <x:v>Other: +20%</x:v>
      </x:c>
      <x:c r="U19" s="27" t="str">
        <x:v>Full reel preferred. Small orders: Digi-Reel with tape and cover-tape extenders.</x:v>
      </x:c>
      <x:c r="W19" s="27" t="str">
        <x:v>Repaired; page verified</x:v>
      </x:c>
      <x:c r="X19" s="38" t="d">
        <x:v>2026-10-08T00:00:00.000Z</x:v>
      </x:c>
      <x:c r="Y19" s="27" t="str">
        <x:v>Exact MPN matched; reported stock. Confirm at checkout.</x:v>
      </x:c>
    </x:row>
    <x:row r="20" ht="27" hidden="0" customHeight="1">
      <x:c r="A20" s="15" t="s">
        <x:v>53</x:v>
      </x:c>
      <x:c r="B20" s="15" t="str">
        <x:v>SMBJ18CA (4S TVS)</x:v>
      </x:c>
      <x:c r="C20" s="15" t="s">
        <x:v>48</x:v>
      </x:c>
      <x:c r="D20" s="15" t="str">
        <x:v>SMBJ18CA</x:v>
      </x:c>
      <x:c r="E20" s="16" t="s">
        <x:v>21</x:v>
      </x:c>
      <x:c r="F20" s="17" t="n">
        <x:v>1</x:v>
      </x:c>
      <x:c r="G20" s="17" t="n">
        <x:f aca="0">F20*$B$4</x:f>
        <x:v>5</x:v>
      </x:c>
      <x:c r="H20" s="18">
        <x:f aca="0"/>
      </x:c>
      <x:c r="I20" s="19" t="str">
        <x:f aca="0">IF(ISNUMBER(H20),F20*H20,"")</x:f>
      </x:c>
      <x:c r="J20" s="19" t="str">
        <x:f aca="0">IF(ISNUMBER(H20),G20*H20,"")</x:f>
      </x:c>
      <x:c r="K20" s="20" t="str">
        <x:v>Updated part: quote required</x:v>
      </x:c>
      <x:c r="L20" s="16" t="str">
        <x:v>Unquoted replacement</x:v>
      </x:c>
      <x:c r="M20" s="16" t="str">
        <x:v>Stock unconfirmed</x:v>
      </x:c>
      <x:c r="N20" s="40"/>
      <x:c r="P20" s="29" t="n">
        <x:f>ROUNDUP(G20*1.2,0)</x:f>
        <x:v>6</x:v>
      </x:c>
      <x:c r="Q20" s="30"/>
      <x:c r="R20" s="29" t="n">
        <x:f>IF(Q20="",P20,MAX(P20,Q20))</x:f>
        <x:v>6</x:v>
      </x:c>
      <x:c r="S20" s="31" t="str">
        <x:f>IF(ISNUMBER(H20),R20*H20,"")</x:f>
      </x:c>
      <x:c r="T20" s="26" t="str">
        <x:v>Other: +20%</x:v>
      </x:c>
      <x:c r="U20" s="27" t="str">
        <x:v>Full reel preferred. Small orders: Digi-Reel with tape and cover-tape extenders.</x:v>
      </x:c>
      <x:c r="W20" s="27" t="str">
        <x:v>Replacement; sourcing unverified</x:v>
      </x:c>
      <x:c r="X20" s="38"/>
      <x:c r="Y20" s="27" t="str">
        <x:v>Previous part price/stock no longer applies. Source: https://www.bourns.com/docs/product-datasheets/smbj.pdf</x:v>
      </x:c>
    </x:row>
    <x:row r="21" ht="27" hidden="0" customHeight="1">
      <x:c r="A21" s="10" t="s">
        <x:v>54</x:v>
      </x:c>
      <x:c r="B21" s="10" t="s">
        <x:v>55</x:v>
      </x:c>
      <x:c r="C21" s="10" t="s">
        <x:v>56</x:v>
      </x:c>
      <x:c r="D21" s="10" t="s">
        <x:v>57</x:v>
      </x:c>
      <x:c r="E21" s="1" t="s">
        <x:v>21</x:v>
      </x:c>
      <x:c r="F21" s="11" t="n">
        <x:v>1</x:v>
      </x:c>
      <x:c r="G21" s="11" t="n">
        <x:f aca="0">F21*$B$4</x:f>
        <x:v>5</x:v>
      </x:c>
      <x:c r="H21" s="12" t="n">
        <x:f aca="0">IF(R21&gt;=100,0.7534,IF(R21&gt;=25,0.8864,IF(R21&gt;=10,0.989,1.31)))</x:f>
        <x:v>1.31</x:v>
      </x:c>
      <x:c r="I21" s="13" t="n">
        <x:f aca="0">IF(ISNUMBER(H21),F21*H21,"")</x:f>
        <x:v>1.31</x:v>
      </x:c>
      <x:c r="J21" s="13" t="n">
        <x:f aca="0">IF(ISNUMBER(H21),G21*H21,"")</x:f>
        <x:v>6.550000000000001</x:v>
      </x:c>
      <x:c r="K21" s="14" t="s">
        <x:v>22</x:v>
      </x:c>
      <x:c r="L21" s="1" t="s">
        <x:v>23</x:v>
      </x:c>
      <x:c r="M21" s="1" t="str">
        <x:f>IF(ISNUMBER(N21),IF(N21&lt;R21,"Short stock","Available"),"Stock unconfirmed")</x:f>
        <x:v>Available</x:v>
      </x:c>
      <x:c r="N21" s="39" t="n">
        <x:v>107196</x:v>
      </x:c>
      <x:c r="P21" s="29" t="n">
        <x:f>ROUNDUP(G21*1.2,0)</x:f>
        <x:v>6</x:v>
      </x:c>
      <x:c r="Q21" s="30"/>
      <x:c r="R21" s="29" t="n">
        <x:f>IF(Q21="",P21,MAX(P21,Q21))</x:f>
        <x:v>6</x:v>
      </x:c>
      <x:c r="S21" s="31" t="n">
        <x:f>IF(ISNUMBER(H21),R21*H21,"")</x:f>
        <x:v>7.86</x:v>
      </x:c>
      <x:c r="T21" s="26" t="str">
        <x:v>Other: +20%</x:v>
      </x:c>
      <x:c r="U21" s="27" t="str">
        <x:v>Confirm packaging and manual assembly with the team.</x:v>
      </x:c>
      <x:c r="W21" s="27" t="str">
        <x:v>Repaired; page verified</x:v>
      </x:c>
      <x:c r="X21" s="38" t="d">
        <x:v>2026-10-08T00:00:00.000Z</x:v>
      </x:c>
      <x:c r="Y21" s="27" t="str">
        <x:v>Exact MPN matched; reported stock. Confirm at checkout.</x:v>
      </x:c>
    </x:row>
    <x:row r="22" ht="27" hidden="0" customHeight="1">
      <x:c r="A22" s="15" t="s">
        <x:v>58</x:v>
      </x:c>
      <x:c r="B22" s="15" t="s">
        <x:v>59</x:v>
      </x:c>
      <x:c r="C22" s="15" t="s">
        <x:v>60</x:v>
      </x:c>
      <x:c r="D22" s="15" t="s">
        <x:v>61</x:v>
      </x:c>
      <x:c r="E22" s="16" t="s">
        <x:v>21</x:v>
      </x:c>
      <x:c r="F22" s="17" t="n">
        <x:v>1</x:v>
      </x:c>
      <x:c r="G22" s="17" t="n">
        <x:f aca="0">F22*$B$4</x:f>
        <x:v>5</x:v>
      </x:c>
      <x:c r="H22" s="18" t="n">
        <x:f aca="0">IF(R22&gt;=100,0.7584,IF(R22&gt;=50,0.822,IF(R22&gt;=10,0.991,IF(R22&gt;=5,1.074,1.3))))</x:f>
        <x:v>1.074</x:v>
      </x:c>
      <x:c r="I22" s="19" t="n">
        <x:f aca="0">IF(ISNUMBER(H22),F22*H22,"")</x:f>
        <x:v>1.074</x:v>
      </x:c>
      <x:c r="J22" s="19" t="n">
        <x:f aca="0">IF(ISNUMBER(H22),G22*H22,"")</x:f>
        <x:v>5.37</x:v>
      </x:c>
      <x:c r="K22" s="20" t="s">
        <x:v>22</x:v>
      </x:c>
      <x:c r="L22" s="16" t="s">
        <x:v>23</x:v>
      </x:c>
      <x:c r="M22" s="16" t="str">
        <x:f aca="0">IF(ISNUMBER(N22),IF(N22&lt;R22,"Short stock","Available"),"Stock unconfirmed")</x:f>
        <x:v>Available</x:v>
      </x:c>
      <x:c r="N22" s="40" t="n">
        <x:v>88</x:v>
      </x:c>
      <x:c r="P22" s="29" t="n">
        <x:f>ROUNDUP(G22*1.2,0)</x:f>
        <x:v>6</x:v>
      </x:c>
      <x:c r="Q22" s="30"/>
      <x:c r="R22" s="29" t="n">
        <x:f>IF(Q22="",P22,MAX(P22,Q22))</x:f>
        <x:v>6</x:v>
      </x:c>
      <x:c r="S22" s="31" t="n">
        <x:f>IF(ISNUMBER(H22),R22*H22,"")</x:f>
        <x:v>6.444000000000001</x:v>
      </x:c>
      <x:c r="T22" s="26" t="str">
        <x:v>Other: +20%</x:v>
      </x:c>
      <x:c r="U22" s="27" t="str">
        <x:v>Confirm packaging and manual assembly with the team.</x:v>
      </x:c>
      <x:c r="W22" s="27" t="str">
        <x:v>Repaired; page verified</x:v>
      </x:c>
      <x:c r="X22" s="38" t="d">
        <x:v>2026-10-08T00:00:00.000Z</x:v>
      </x:c>
      <x:c r="Y22" s="27" t="str">
        <x:v>Exact MPN matched; reported stock. Confirm at checkout.</x:v>
      </x:c>
    </x:row>
    <x:row r="23" ht="27" hidden="0" customHeight="1">
      <x:c r="A23" s="10" t="s">
        <x:v>62</x:v>
      </x:c>
      <x:c r="B23" s="10" t="s">
        <x:v>63</x:v>
      </x:c>
      <x:c r="C23" s="10" t="s">
        <x:v>64</x:v>
      </x:c>
      <x:c r="D23" s="10" t="s">
        <x:v>63</x:v>
      </x:c>
      <x:c r="E23" s="1" t="s">
        <x:v>65</x:v>
      </x:c>
      <x:c r="F23" s="11" t="n">
        <x:v>2</x:v>
      </x:c>
      <x:c r="G23" s="11" t="n">
        <x:f aca="0">F23*$B$4</x:f>
        <x:v>10</x:v>
      </x:c>
      <x:c r="H23" s="12" t="n">
        <x:f aca="0"/>
        <x:v>0.6464</x:v>
      </x:c>
      <x:c r="I23" s="13" t="n">
        <x:f aca="0">IF(ISNUMBER(H23),F23*H23,"")</x:f>
        <x:v>1.2928</x:v>
      </x:c>
      <x:c r="J23" s="13" t="n">
        <x:f aca="0">IF(ISNUMBER(H23),G23*H23,"")</x:f>
        <x:v>6.4639999999999995</x:v>
      </x:c>
      <x:c r="K23" s="14" t="s">
        <x:v>66</x:v>
      </x:c>
      <x:c r="L23" s="1" t="s">
        <x:v>67</x:v>
      </x:c>
      <x:c r="M23" s="1" t="str">
        <x:f>IF(ISNUMBER(N23),IF(N23&lt;SUM(R23,R25),"Short stock","Available"),"Stock unconfirmed")</x:f>
        <x:v>Available</x:v>
      </x:c>
      <x:c r="N23" s="39" t="n">
        <x:f>N25</x:f>
        <x:v>5918</x:v>
      </x:c>
      <x:c r="P23" s="29" t="n">
        <x:f>ROUNDUP(G23*1.2,0)</x:f>
        <x:v>12</x:v>
      </x:c>
      <x:c r="Q23" s="30"/>
      <x:c r="R23" s="29" t="n">
        <x:f>IF(Q23="",P23,MAX(P23,Q23))</x:f>
        <x:v>12</x:v>
      </x:c>
      <x:c r="S23" s="31" t="n">
        <x:f>IF(ISNUMBER(H23),R23*H23,"")</x:f>
        <x:v>7.7568</x:v>
      </x:c>
      <x:c r="T23" s="26" t="str">
        <x:v>Other: +20%</x:v>
      </x:c>
      <x:c r="U23" s="27" t="str">
        <x:v>XT60PW-F: 45 A rated / 60 A momentary (duration unspecified). Confirm manual THT soldering and cable polarity.</x:v>
      </x:c>
      <x:c r="W23" s="27" t="str">
        <x:v>Repaired; page verified</x:v>
      </x:c>
      <x:c r="X23" s="38" t="d">
        <x:v>2026-10-08T00:00:00.000Z</x:v>
      </x:c>
      <x:c r="Y23" s="27" t="str">
        <x:v>Same XT60 stock pool: compare against J1 + J3 + J4 combined order. Price/stock inherited from J4 snapshot; recheck checkout.</x:v>
      </x:c>
    </x:row>
    <x:row r="24" ht="27" hidden="0" customHeight="1">
      <x:c r="A24" s="15" t="s">
        <x:v>68</x:v>
      </x:c>
      <x:c r="B24" s="15" t="s">
        <x:v>69</x:v>
      </x:c>
      <x:c r="C24" s="15" t="s">
        <x:v>70</x:v>
      </x:c>
      <x:c r="D24" s="15" t="s">
        <x:v>71</x:v>
      </x:c>
      <x:c r="E24" s="16" t="s">
        <x:v>72</x:v>
      </x:c>
      <x:c r="F24" s="17" t="n">
        <x:v>1</x:v>
      </x:c>
      <x:c r="G24" s="17" t="n">
        <x:f aca="0">F24*$B$4</x:f>
        <x:v>5</x:v>
      </x:c>
      <x:c r="H24" s="18" t="n">
        <x:v>0.38</x:v>
      </x:c>
      <x:c r="I24" s="19" t="n">
        <x:f aca="0">IF(ISNUMBER(H24),F24*H24,"")</x:f>
        <x:v>0.38</x:v>
      </x:c>
      <x:c r="J24" s="19" t="n">
        <x:f aca="0">IF(ISNUMBER(H24),G24*H24,"")</x:f>
        <x:v>1.9</x:v>
      </x:c>
      <x:c r="K24" s="20" t="s">
        <x:v>73</x:v>
      </x:c>
      <x:c r="L24" s="16" t="s">
        <x:v>67</x:v>
      </x:c>
      <x:c r="M24" s="16" t="str">
        <x:f>IF(ISNUMBER(N24),IF(N24&lt;R24,"Short stock","Available"),"Stock unconfirmed")</x:f>
        <x:v>Stock unconfirmed</x:v>
      </x:c>
      <x:c r="N24" s="40"/>
      <x:c r="P24" s="29" t="n">
        <x:f>ROUNDUP(G24*1.2,0)</x:f>
        <x:v>6</x:v>
      </x:c>
      <x:c r="Q24" s="30"/>
      <x:c r="R24" s="29" t="n">
        <x:f>IF(Q24="",P24,MAX(P24,Q24))</x:f>
        <x:v>6</x:v>
      </x:c>
      <x:c r="S24" s="31" t="n">
        <x:f>IF(ISNUMBER(H24),R24*H24,"")</x:f>
        <x:v>2.2800000000000002</x:v>
      </x:c>
      <x:c r="T24" s="26" t="str">
        <x:v>Other: +20%</x:v>
      </x:c>
      <x:c r="U24" s="27" t="str">
        <x:v>Full reel preferred. Small orders: Digi-Reel/equivalent with tape and cover-tape extenders.</x:v>
      </x:c>
      <x:c r="W24" s="27" t="str">
        <x:v>Repaired; page unverified</x:v>
      </x:c>
      <x:c r="X24" s="38" t="d">
        <x:v>2026-10-08T00:00:00.000Z</x:v>
      </x:c>
      <x:c r="Y24" s="27" t="str">
        <x:v>US page unreadable. Regional pages conflict: 0 vs 963. Ask Mouser to confirm US stock.</x:v>
      </x:c>
    </x:row>
    <x:row r="25" ht="27" hidden="0" customHeight="1">
      <x:c r="A25" s="10" t="s">
        <x:v>74</x:v>
      </x:c>
      <x:c r="B25" s="10" t="s">
        <x:v>63</x:v>
      </x:c>
      <x:c r="C25" s="10" t="s">
        <x:v>64</x:v>
      </x:c>
      <x:c r="D25" s="10" t="s">
        <x:v>63</x:v>
      </x:c>
      <x:c r="E25" s="1" t="s">
        <x:v>65</x:v>
      </x:c>
      <x:c r="F25" s="11" t="n">
        <x:v>1</x:v>
      </x:c>
      <x:c r="G25" s="11" t="n">
        <x:f aca="0">F25*$B$4</x:f>
        <x:v>5</x:v>
      </x:c>
      <x:c r="H25" s="12" t="n">
        <x:v>0.6464</x:v>
      </x:c>
      <x:c r="I25" s="13" t="n">
        <x:f aca="0">IF(ISNUMBER(H25),F25*H25,"")</x:f>
        <x:v>0.6464</x:v>
      </x:c>
      <x:c r="J25" s="13" t="n">
        <x:f aca="0">IF(ISNUMBER(H25),G25*H25,"")</x:f>
        <x:v>3.2319999999999998</x:v>
      </x:c>
      <x:c r="K25" s="14" t="s">
        <x:v>66</x:v>
      </x:c>
      <x:c r="L25" s="1" t="s">
        <x:v>67</x:v>
      </x:c>
      <x:c r="M25" s="1" t="str">
        <x:f>IF(ISNUMBER(N25),IF(N25&lt;SUM(R23,R25),"Short stock","Available"),"Stock unconfirmed")</x:f>
        <x:v>Available</x:v>
      </x:c>
      <x:c r="N25" s="39" t="n">
        <x:v>5918</x:v>
      </x:c>
      <x:c r="P25" s="29" t="n">
        <x:f>ROUNDUP(G25*1.2,0)</x:f>
        <x:v>6</x:v>
      </x:c>
      <x:c r="Q25" s="30"/>
      <x:c r="R25" s="29" t="n">
        <x:f>IF(Q25="",P25,MAX(P25,Q25))</x:f>
        <x:v>6</x:v>
      </x:c>
      <x:c r="S25" s="31" t="n">
        <x:f>IF(ISNUMBER(H25),R25*H25,"")</x:f>
        <x:v>3.8784</x:v>
      </x:c>
      <x:c r="T25" s="26" t="str">
        <x:v>Other: +20%</x:v>
      </x:c>
      <x:c r="U25" s="27" t="str">
        <x:v>XT60PW-F: 45 A rated / 60 A momentary (duration unspecified). Confirm manual THT soldering and cable polarity.</x:v>
      </x:c>
      <x:c r="W25" s="27" t="str">
        <x:v>Repaired; page verified</x:v>
      </x:c>
      <x:c r="X25" s="38" t="d">
        <x:v>2026-10-08T00:00:00.000Z</x:v>
      </x:c>
      <x:c r="Y25" s="27" t="str">
        <x:v>Same XT60 stock pool: compare against J1 + J3 + J4 combined order. Price/stock inherited from J4 snapshot; recheck checkout.</x:v>
      </x:c>
    </x:row>
    <x:row r="26" ht="27" hidden="0" customHeight="1">
      <x:c r="A26" s="15" t="s">
        <x:v>75</x:v>
      </x:c>
      <x:c r="B26" s="15" t="s">
        <x:v>76</x:v>
      </x:c>
      <x:c r="C26" s="15" t="s">
        <x:v>77</x:v>
      </x:c>
      <x:c r="D26" s="15" t="s">
        <x:v>78</x:v>
      </x:c>
      <x:c r="E26" s="16" t="s">
        <x:v>21</x:v>
      </x:c>
      <x:c r="F26" s="17" t="n">
        <x:v>2</x:v>
      </x:c>
      <x:c r="G26" s="17" t="n">
        <x:f aca="0">F26*$B$4</x:f>
        <x:v>10</x:v>
      </x:c>
      <x:c r="H26" s="18" t="n">
        <x:f aca="0">IF(R26&gt;=500,1.64208,IF(R26&gt;=100,1.9816,IF(R26&gt;=50,2.1878,IF(R26&gt;=10,2.828,4.32))))</x:f>
        <x:v>2.828</x:v>
      </x:c>
      <x:c r="I26" s="19" t="n">
        <x:f aca="0">IF(ISNUMBER(H26),F26*H26,"")</x:f>
        <x:v>5.656</x:v>
      </x:c>
      <x:c r="J26" s="19" t="n">
        <x:f aca="0">IF(ISNUMBER(H26),G26*H26,"")</x:f>
        <x:v>28.279999999999998</x:v>
      </x:c>
      <x:c r="K26" s="20" t="s">
        <x:v>22</x:v>
      </x:c>
      <x:c r="L26" s="16" t="s">
        <x:v>23</x:v>
      </x:c>
      <x:c r="M26" s="16" t="str">
        <x:f aca="0">IF(ISNUMBER(N26),IF(N26&lt;R26,"Short stock","Available"),"Stock unconfirmed")</x:f>
        <x:v>Available</x:v>
      </x:c>
      <x:c r="N26" s="40" t="n">
        <x:v>5063</x:v>
      </x:c>
      <x:c r="P26" s="29" t="n">
        <x:f>ROUNDUP(G26*1.2,0)</x:f>
        <x:v>12</x:v>
      </x:c>
      <x:c r="Q26" s="30"/>
      <x:c r="R26" s="29" t="n">
        <x:f>IF(Q26="",P26,MAX(P26,Q26))</x:f>
        <x:v>12</x:v>
      </x:c>
      <x:c r="S26" s="31" t="n">
        <x:f>IF(ISNUMBER(H26),R26*H26,"")</x:f>
        <x:v>33.936</x:v>
      </x:c>
      <x:c r="T26" s="26" t="str">
        <x:v>Other: +20%</x:v>
      </x:c>
      <x:c r="U26" s="27" t="str">
        <x:v>Full reel preferred. Small orders: Digi-Reel with tape and cover-tape extenders.</x:v>
      </x:c>
      <x:c r="W26" s="27" t="str">
        <x:v>Repaired; page verified</x:v>
      </x:c>
      <x:c r="X26" s="38" t="d">
        <x:v>2026-10-08T00:00:00.000Z</x:v>
      </x:c>
      <x:c r="Y26" s="27" t="str">
        <x:v>Exact MPN matched; reported stock. Confirm at checkout.</x:v>
      </x:c>
    </x:row>
    <x:row r="27" ht="27" hidden="0" customHeight="1">
      <x:c r="A27" s="10" t="s">
        <x:v>79</x:v>
      </x:c>
      <x:c r="B27" s="10" t="s">
        <x:v>80</x:v>
      </x:c>
      <x:c r="C27" s="10" t="s">
        <x:v>77</x:v>
      </x:c>
      <x:c r="D27" s="10" t="s">
        <x:v>81</x:v>
      </x:c>
      <x:c r="E27" s="1" t="s">
        <x:v>21</x:v>
      </x:c>
      <x:c r="F27" s="11" t="n">
        <x:v>1</x:v>
      </x:c>
      <x:c r="G27" s="11" t="n">
        <x:f aca="0">F27*$B$4</x:f>
        <x:v>5</x:v>
      </x:c>
      <x:c r="H27" s="12" t="n">
        <x:f aca="0">IF(R27&gt;=100,0.9996,IF(R27&gt;=50,1.1164,IF(R27&gt;=10,1.478,2.32)))</x:f>
        <x:v>2.32</x:v>
      </x:c>
      <x:c r="I27" s="13" t="n">
        <x:f aca="0">IF(ISNUMBER(H27),F27*H27,"")</x:f>
        <x:v>2.32</x:v>
      </x:c>
      <x:c r="J27" s="13" t="n">
        <x:f aca="0">IF(ISNUMBER(H27),G27*H27,"")</x:f>
        <x:v>11.6</x:v>
      </x:c>
      <x:c r="K27" s="14" t="s">
        <x:v>22</x:v>
      </x:c>
      <x:c r="L27" s="1" t="s">
        <x:v>23</x:v>
      </x:c>
      <x:c r="M27" s="1" t="str">
        <x:f aca="0">IF(ISNUMBER(N27),IF(N27&lt;R27,"Short stock","Available"),"Stock unconfirmed")</x:f>
        <x:v>Available</x:v>
      </x:c>
      <x:c r="N27" s="39" t="n">
        <x:v>9627</x:v>
      </x:c>
      <x:c r="P27" s="29" t="n">
        <x:f>ROUNDUP(G27*1.2,0)</x:f>
        <x:v>6</x:v>
      </x:c>
      <x:c r="Q27" s="30"/>
      <x:c r="R27" s="29" t="n">
        <x:f>IF(Q27="",P27,MAX(P27,Q27))</x:f>
        <x:v>6</x:v>
      </x:c>
      <x:c r="S27" s="31" t="n">
        <x:f>IF(ISNUMBER(H27),R27*H27,"")</x:f>
        <x:v>13.919999999999998</x:v>
      </x:c>
      <x:c r="T27" s="26" t="str">
        <x:v>Other: +20%</x:v>
      </x:c>
      <x:c r="U27" s="27" t="str">
        <x:v>Full reel preferred. Small orders: Digi-Reel with tape and cover-tape extenders.</x:v>
      </x:c>
      <x:c r="W27" s="27" t="str">
        <x:v>Repaired; page verified</x:v>
      </x:c>
      <x:c r="X27" s="38" t="d">
        <x:v>2026-10-08T00:00:00.000Z</x:v>
      </x:c>
      <x:c r="Y27" s="27" t="str">
        <x:v>Exact MPN matched; reported stock. Confirm at checkout.</x:v>
      </x:c>
    </x:row>
    <x:row r="28" ht="27" hidden="0" customHeight="1">
      <x:c r="A28" s="15" t="s">
        <x:v>82</x:v>
      </x:c>
      <x:c r="B28" s="15" t="s">
        <x:v>83</x:v>
      </x:c>
      <x:c r="C28" s="15" t="s">
        <x:v>84</x:v>
      </x:c>
      <x:c r="D28" s="15" t="s">
        <x:v>85</x:v>
      </x:c>
      <x:c r="E28" s="16" t="s">
        <x:v>21</x:v>
      </x:c>
      <x:c r="F28" s="17" t="n">
        <x:v>1</x:v>
      </x:c>
      <x:c r="G28" s="17" t="n">
        <x:f aca="0">F28*$B$4</x:f>
        <x:v>5</x:v>
      </x:c>
      <x:c r="H28" s="18" t="n">
        <x:f aca="0">IF(R28&gt;=1000,0.00973,IF(R28&gt;=500,0.01136,IF(R28&gt;=250,0.01344,IF(R28&gt;=100,0.0171,IF(R28&gt;=50,0.0208,IF(R28&gt;=25,0.0256,IF(R28&gt;=10,0.034,0.1)))))))</x:f>
        <x:v>0.0171</x:v>
      </x:c>
      <x:c r="I28" s="19" t="n">
        <x:f aca="0">IF(ISNUMBER(H28),F28*H28,"")</x:f>
        <x:v>0.0171</x:v>
      </x:c>
      <x:c r="J28" s="19" t="n">
        <x:f aca="0">IF(ISNUMBER(H28),G28*H28,"")</x:f>
        <x:v>0.0855</x:v>
      </x:c>
      <x:c r="K28" s="20" t="s">
        <x:v>22</x:v>
      </x:c>
      <x:c r="L28" s="16" t="s">
        <x:v>23</x:v>
      </x:c>
      <x:c r="M28" s="16" t="str">
        <x:f>IF(ISNUMBER(N28),IF(N28&lt;R28,"Short stock","Available"),"Stock unconfirmed")</x:f>
        <x:v>Available</x:v>
      </x:c>
      <x:c r="N28" s="40" t="n">
        <x:v>131437</x:v>
      </x:c>
      <x:c r="P28" s="29" t="n">
        <x:f>IF(G28=0,0,MAX(100,10*G28))</x:f>
        <x:v>100</x:v>
      </x:c>
      <x:c r="Q28" s="30"/>
      <x:c r="R28" s="29" t="n">
        <x:f>IF(Q28="",P28,MAX(P28,Q28))</x:f>
        <x:v>100</x:v>
      </x:c>
      <x:c r="S28" s="31" t="n">
        <x:f>IF(ISNUMBER(H28),R28*H28,"")</x:f>
        <x:v>1.71</x:v>
      </x:c>
      <x:c r="T28" s="26" t="str">
        <x:v>Passive: 100 or 10×</x:v>
      </x:c>
      <x:c r="U28" s="27" t="str">
        <x:v>Full reel preferred. Small orders: Digi-Reel with tape and cover-tape extenders.</x:v>
      </x:c>
      <x:c r="W28" s="27" t="str">
        <x:v>Repaired; page verified</x:v>
      </x:c>
      <x:c r="X28" s="38" t="d">
        <x:v>2026-10-08T00:00:00.000Z</x:v>
      </x:c>
      <x:c r="Y28" s="27" t="str">
        <x:v>Exact MPN matched; reported stock. Confirm at checkout.</x:v>
      </x:c>
    </x:row>
    <x:row r="29" ht="27" hidden="0" customHeight="1">
      <x:c r="A29" s="10" t="s">
        <x:v>86</x:v>
      </x:c>
      <x:c r="B29" s="10" t="s">
        <x:v>87</x:v>
      </x:c>
      <x:c r="C29" s="10" t="s">
        <x:v>84</x:v>
      </x:c>
      <x:c r="D29" s="10" t="s">
        <x:v>88</x:v>
      </x:c>
      <x:c r="E29" s="1" t="s">
        <x:v>21</x:v>
      </x:c>
      <x:c r="F29" s="11" t="n">
        <x:v>1</x:v>
      </x:c>
      <x:c r="G29" s="11" t="n">
        <x:f aca="0">F29*$B$4</x:f>
        <x:v>5</x:v>
      </x:c>
      <x:c r="H29" s="12" t="n">
        <x:f aca="0">IF(R29&gt;=1000,0.00973,IF(R29&gt;=500,0.01136,IF(R29&gt;=250,0.01344,IF(R29&gt;=100,0.0171,IF(R29&gt;=50,0.0208,IF(R29&gt;=25,0.0256,IF(R29&gt;=10,0.034,0.1)))))))</x:f>
        <x:v>0.0171</x:v>
      </x:c>
      <x:c r="I29" s="13" t="n">
        <x:f aca="0">IF(ISNUMBER(H29),F29*H29,"")</x:f>
        <x:v>0.0171</x:v>
      </x:c>
      <x:c r="J29" s="13" t="n">
        <x:f aca="0">IF(ISNUMBER(H29),G29*H29,"")</x:f>
        <x:v>0.0855</x:v>
      </x:c>
      <x:c r="K29" s="14" t="s">
        <x:v>22</x:v>
      </x:c>
      <x:c r="L29" s="1" t="s">
        <x:v>23</x:v>
      </x:c>
      <x:c r="M29" s="1" t="str">
        <x:f aca="0">IF(ISNUMBER(N29),IF(N29&lt;R29,"Short stock","Available"),"Stock unconfirmed")</x:f>
        <x:v>Available</x:v>
      </x:c>
      <x:c r="N29" s="39" t="n">
        <x:v>38419</x:v>
      </x:c>
      <x:c r="P29" s="29" t="n">
        <x:f>IF(G29=0,0,MAX(100,10*G29))</x:f>
        <x:v>100</x:v>
      </x:c>
      <x:c r="Q29" s="30"/>
      <x:c r="R29" s="29" t="n">
        <x:f>IF(Q29="",P29,MAX(P29,Q29))</x:f>
        <x:v>100</x:v>
      </x:c>
      <x:c r="S29" s="31" t="n">
        <x:f>IF(ISNUMBER(H29),R29*H29,"")</x:f>
        <x:v>1.71</x:v>
      </x:c>
      <x:c r="T29" s="26" t="str">
        <x:v>Passive: 100 or 10×</x:v>
      </x:c>
      <x:c r="U29" s="27" t="str">
        <x:v>Full reel preferred. Small orders: Digi-Reel with tape and cover-tape extenders.</x:v>
      </x:c>
      <x:c r="W29" s="27" t="str">
        <x:v>Repaired; page verified</x:v>
      </x:c>
      <x:c r="X29" s="38" t="d">
        <x:v>2026-10-08T00:00:00.000Z</x:v>
      </x:c>
      <x:c r="Y29" s="27" t="str">
        <x:v>Exact MPN matched; reported stock. Confirm at checkout.</x:v>
      </x:c>
    </x:row>
    <x:row r="30" ht="27" hidden="0" customHeight="1">
      <x:c r="A30" s="15" t="s">
        <x:v>89</x:v>
      </x:c>
      <x:c r="B30" s="15" t="s">
        <x:v>90</x:v>
      </x:c>
      <x:c r="C30" s="15" t="s">
        <x:v>84</x:v>
      </x:c>
      <x:c r="D30" s="15" t="s">
        <x:v>91</x:v>
      </x:c>
      <x:c r="E30" s="16" t="s">
        <x:v>21</x:v>
      </x:c>
      <x:c r="F30" s="17" t="n">
        <x:v>1</x:v>
      </x:c>
      <x:c r="G30" s="17" t="n">
        <x:f aca="0">F30*$B$4</x:f>
        <x:v>5</x:v>
      </x:c>
      <x:c r="H30" s="18" t="n">
        <x:f aca="0">IF(R30&gt;=1000,0.01032,IF(R30&gt;=500,0.01204,IF(R30&gt;=250,0.01424,IF(R30&gt;=100,0.0181,IF(R30&gt;=50,0.022,IF(R30&gt;=25,0.0272,IF(R30&gt;=10,0.036,0.11)))))))</x:f>
        <x:v>0.0181</x:v>
      </x:c>
      <x:c r="I30" s="19" t="n">
        <x:f aca="0">IF(ISNUMBER(H30),F30*H30,"")</x:f>
        <x:v>0.0181</x:v>
      </x:c>
      <x:c r="J30" s="19" t="n">
        <x:f aca="0">IF(ISNUMBER(H30),G30*H30,"")</x:f>
        <x:v>0.09050000000000001</x:v>
      </x:c>
      <x:c r="K30" s="20" t="s">
        <x:v>22</x:v>
      </x:c>
      <x:c r="L30" s="16" t="s">
        <x:v>23</x:v>
      </x:c>
      <x:c r="M30" s="16" t="str">
        <x:f>IF(ISNUMBER(N30),IF(N30&lt;R30,"Short stock","Available"),"Stock unconfirmed")</x:f>
        <x:v>Available</x:v>
      </x:c>
      <x:c r="N30" s="40" t="n">
        <x:v>30217</x:v>
      </x:c>
      <x:c r="P30" s="29" t="n">
        <x:f>IF(G30=0,0,MAX(100,10*G30))</x:f>
        <x:v>100</x:v>
      </x:c>
      <x:c r="Q30" s="30"/>
      <x:c r="R30" s="29" t="n">
        <x:f>IF(Q30="",P30,MAX(P30,Q30))</x:f>
        <x:v>100</x:v>
      </x:c>
      <x:c r="S30" s="31" t="n">
        <x:f>IF(ISNUMBER(H30),R30*H30,"")</x:f>
        <x:v>1.81</x:v>
      </x:c>
      <x:c r="T30" s="26" t="str">
        <x:v>Passive: 100 or 10×</x:v>
      </x:c>
      <x:c r="U30" s="27" t="str">
        <x:v>Full reel preferred. Small orders: Digi-Reel with tape and cover-tape extenders.</x:v>
      </x:c>
      <x:c r="W30" s="27" t="str">
        <x:v>Repaired; page verified</x:v>
      </x:c>
      <x:c r="X30" s="38" t="d">
        <x:v>2026-10-08T00:00:00.000Z</x:v>
      </x:c>
      <x:c r="Y30" s="27" t="str">
        <x:v>Exact MPN matched; reported stock. Confirm at checkout.</x:v>
      </x:c>
    </x:row>
    <x:row r="31" ht="27" hidden="0" customHeight="1">
      <x:c r="A31" s="10" t="s">
        <x:v>92</x:v>
      </x:c>
      <x:c r="B31" s="10" t="s">
        <x:v>93</x:v>
      </x:c>
      <x:c r="C31" s="10" t="s">
        <x:v>84</x:v>
      </x:c>
      <x:c r="D31" s="10" t="s">
        <x:v>94</x:v>
      </x:c>
      <x:c r="E31" s="1" t="s">
        <x:v>21</x:v>
      </x:c>
      <x:c r="F31" s="11" t="n">
        <x:v>1</x:v>
      </x:c>
      <x:c r="G31" s="11" t="n">
        <x:f aca="0">F31*$B$4</x:f>
        <x:v>5</x:v>
      </x:c>
      <x:c r="H31" s="12" t="n">
        <x:f aca="0">IF(R31&gt;=1000,0.00973,IF(R31&gt;=500,0.01136,IF(R31&gt;=250,0.01344,IF(R31&gt;=100,0.0171,IF(R31&gt;=50,0.0208,IF(R31&gt;=25,0.0256,IF(R31&gt;=10,0.034,0.1)))))))</x:f>
        <x:v>0.0171</x:v>
      </x:c>
      <x:c r="I31" s="13" t="n">
        <x:f aca="0">IF(ISNUMBER(H31),F31*H31,"")</x:f>
        <x:v>0.0171</x:v>
      </x:c>
      <x:c r="J31" s="13" t="n">
        <x:f aca="0">IF(ISNUMBER(H31),G31*H31,"")</x:f>
        <x:v>0.0855</x:v>
      </x:c>
      <x:c r="K31" s="14" t="s">
        <x:v>22</x:v>
      </x:c>
      <x:c r="L31" s="1" t="s">
        <x:v>23</x:v>
      </x:c>
      <x:c r="M31" s="1" t="str">
        <x:f aca="0">IF(ISNUMBER(N31),IF(N31&lt;R31,"Short stock","Available"),"Stock unconfirmed")</x:f>
        <x:v>Available</x:v>
      </x:c>
      <x:c r="N31" s="39" t="n">
        <x:v>246713</x:v>
      </x:c>
      <x:c r="P31" s="29" t="n">
        <x:f>IF(G31=0,0,MAX(100,10*G31))</x:f>
        <x:v>100</x:v>
      </x:c>
      <x:c r="Q31" s="30"/>
      <x:c r="R31" s="29" t="n">
        <x:f>IF(Q31="",P31,MAX(P31,Q31))</x:f>
        <x:v>100</x:v>
      </x:c>
      <x:c r="S31" s="31" t="n">
        <x:f>IF(ISNUMBER(H31),R31*H31,"")</x:f>
        <x:v>1.71</x:v>
      </x:c>
      <x:c r="T31" s="26" t="str">
        <x:v>Passive: 100 or 10×</x:v>
      </x:c>
      <x:c r="U31" s="27" t="str">
        <x:v>Full reel preferred. Small orders: Digi-Reel with tape and cover-tape extenders.</x:v>
      </x:c>
      <x:c r="W31" s="27" t="str">
        <x:v>Repaired; page verified</x:v>
      </x:c>
      <x:c r="X31" s="38" t="d">
        <x:v>2026-10-08T00:00:00.000Z</x:v>
      </x:c>
      <x:c r="Y31" s="27" t="str">
        <x:v>Exact MPN matched; reported stock. Confirm at checkout.</x:v>
      </x:c>
    </x:row>
    <x:row r="32" ht="27" hidden="0" customHeight="1">
      <x:c r="A32" s="15" t="s">
        <x:v>95</x:v>
      </x:c>
      <x:c r="B32" s="15" t="s">
        <x:v>96</x:v>
      </x:c>
      <x:c r="C32" s="15" t="s">
        <x:v>97</x:v>
      </x:c>
      <x:c r="D32" s="15" t="s">
        <x:v>98</x:v>
      </x:c>
      <x:c r="E32" s="16" t="s">
        <x:v>21</x:v>
      </x:c>
      <x:c r="F32" s="17" t="n">
        <x:v>1</x:v>
      </x:c>
      <x:c r="G32" s="17" t="n">
        <x:f aca="0">F32*$B$4</x:f>
        <x:v>5</x:v>
      </x:c>
      <x:c r="H32" s="18" t="n">
        <x:f aca="0">IF(R32&gt;=500,0.98808,IF(R32&gt;=250,1.0732,IF(R32&gt;=100,1.2092,IF(R32&gt;=50,1.3334,IF(R32&gt;=25,1.4792,IF(R32&gt;=10,1.712,2.57))))))</x:f>
        <x:v>1.2092</x:v>
      </x:c>
      <x:c r="I32" s="19" t="n">
        <x:f aca="0">IF(ISNUMBER(H32),F32*H32,"")</x:f>
        <x:v>1.2092</x:v>
      </x:c>
      <x:c r="J32" s="19" t="n">
        <x:f aca="0">IF(ISNUMBER(H32),G32*H32,"")</x:f>
        <x:v>6.046</x:v>
      </x:c>
      <x:c r="K32" s="20" t="s">
        <x:v>22</x:v>
      </x:c>
      <x:c r="L32" s="16" t="s">
        <x:v>23</x:v>
      </x:c>
      <x:c r="M32" s="16" t="str">
        <x:f aca="0">IF(ISNUMBER(N32),IF(N32&lt;R32,"Short stock","Available"),"Stock unconfirmed")</x:f>
        <x:v>Available</x:v>
      </x:c>
      <x:c r="N32" s="40" t="n">
        <x:v>10405</x:v>
      </x:c>
      <x:c r="P32" s="29" t="n">
        <x:f>IF(G32=0,0,MAX(100,10*G32))</x:f>
        <x:v>100</x:v>
      </x:c>
      <x:c r="Q32" s="30"/>
      <x:c r="R32" s="29" t="n">
        <x:f>IF(Q32="",P32,MAX(P32,Q32))</x:f>
        <x:v>100</x:v>
      </x:c>
      <x:c r="S32" s="31" t="n">
        <x:f>IF(ISNUMBER(H32),R32*H32,"")</x:f>
        <x:v>120.92</x:v>
      </x:c>
      <x:c r="T32" s="26" t="str">
        <x:v>Passive: 100 or 10×</x:v>
      </x:c>
      <x:c r="U32" s="27" t="str">
        <x:v>Full reel preferred. Small orders: Digi-Reel with tape and cover-tape extenders.</x:v>
      </x:c>
      <x:c r="W32" s="27" t="str">
        <x:v>Repaired; page verified</x:v>
      </x:c>
      <x:c r="X32" s="38" t="d">
        <x:v>2026-10-08T00:00:00.000Z</x:v>
      </x:c>
      <x:c r="Y32" s="27" t="str">
        <x:v>Exact MPN matched; reported stock. Confirm at checkout.</x:v>
      </x:c>
    </x:row>
    <x:row r="33" ht="27" hidden="0" customHeight="1">
      <x:c r="A33" s="10" t="s">
        <x:v>99</x:v>
      </x:c>
      <x:c r="B33" s="10" t="s">
        <x:v>100</x:v>
      </x:c>
      <x:c r="C33" s="10" t="s">
        <x:v>84</x:v>
      </x:c>
      <x:c r="D33" s="10" t="s">
        <x:v>101</x:v>
      </x:c>
      <x:c r="E33" s="1" t="s">
        <x:v>21</x:v>
      </x:c>
      <x:c r="F33" s="11" t="n">
        <x:v>1</x:v>
      </x:c>
      <x:c r="G33" s="11" t="n">
        <x:f aca="0">F33*$B$4</x:f>
        <x:v>5</x:v>
      </x:c>
      <x:c r="H33" s="12" t="n">
        <x:f aca="0">IF(R33&gt;=1000,0.01032,IF(R33&gt;=500,0.01204,IF(R33&gt;=250,0.01424,IF(R33&gt;=100,0.0181,IF(R33&gt;=50,0.022,IF(R33&gt;=25,0.0272,IF(R33&gt;=10,0.036,0.11)))))))</x:f>
        <x:v>0.0181</x:v>
      </x:c>
      <x:c r="I33" s="13" t="n">
        <x:f aca="0">IF(ISNUMBER(H33),F33*H33,"")</x:f>
        <x:v>0.0181</x:v>
      </x:c>
      <x:c r="J33" s="13" t="n">
        <x:f aca="0">IF(ISNUMBER(H33),G33*H33,"")</x:f>
        <x:v>0.09050000000000001</x:v>
      </x:c>
      <x:c r="K33" s="14" t="s">
        <x:v>22</x:v>
      </x:c>
      <x:c r="L33" s="1" t="s">
        <x:v>23</x:v>
      </x:c>
      <x:c r="M33" s="1" t="str">
        <x:f>IF(ISNUMBER(N33),IF(N33&lt;R33,"Short stock","Available"),"Stock unconfirmed")</x:f>
        <x:v>Available</x:v>
      </x:c>
      <x:c r="N33" s="39" t="n">
        <x:v>6977</x:v>
      </x:c>
      <x:c r="P33" s="29" t="n">
        <x:f>IF(G33=0,0,MAX(100,10*G33))</x:f>
        <x:v>100</x:v>
      </x:c>
      <x:c r="Q33" s="30"/>
      <x:c r="R33" s="29" t="n">
        <x:f>IF(Q33="",P33,MAX(P33,Q33))</x:f>
        <x:v>100</x:v>
      </x:c>
      <x:c r="S33" s="31" t="n">
        <x:f>IF(ISNUMBER(H33),R33*H33,"")</x:f>
        <x:v>1.81</x:v>
      </x:c>
      <x:c r="T33" s="26" t="str">
        <x:v>Passive: 100 or 10×</x:v>
      </x:c>
      <x:c r="U33" s="27" t="str">
        <x:v>Full reel preferred. Small orders: Digi-Reel with tape and cover-tape extenders.</x:v>
      </x:c>
      <x:c r="W33" s="27" t="str">
        <x:v>Repaired; page verified</x:v>
      </x:c>
      <x:c r="X33" s="38" t="d">
        <x:v>2026-10-08T00:00:00.000Z</x:v>
      </x:c>
      <x:c r="Y33" s="27" t="str">
        <x:v>Exact MPN matched; reported stock. Confirm at checkout.</x:v>
      </x:c>
    </x:row>
    <x:row r="34" ht="27" hidden="0" customHeight="1">
      <x:c r="A34" s="15" t="s">
        <x:v>102</x:v>
      </x:c>
      <x:c r="B34" s="15" t="s">
        <x:v>103</x:v>
      </x:c>
      <x:c r="C34" s="15" t="s">
        <x:v>84</x:v>
      </x:c>
      <x:c r="D34" s="15" t="s">
        <x:v>104</x:v>
      </x:c>
      <x:c r="E34" s="16" t="s">
        <x:v>21</x:v>
      </x:c>
      <x:c r="F34" s="17" t="n">
        <x:v>1</x:v>
      </x:c>
      <x:c r="G34" s="17" t="n">
        <x:f aca="0">F34*$B$4</x:f>
        <x:v>5</x:v>
      </x:c>
      <x:c r="H34" s="18" t="n">
        <x:f aca="0">IF(R34&gt;=1000,0.00973,IF(R34&gt;=500,0.01136,IF(R34&gt;=250,0.01344,IF(R34&gt;=100,0.0171,IF(R34&gt;=50,0.0208,IF(R34&gt;=25,0.0256,IF(R34&gt;=10,0.034,0.1)))))))</x:f>
        <x:v>0.0171</x:v>
      </x:c>
      <x:c r="I34" s="19" t="n">
        <x:f aca="0">IF(ISNUMBER(H34),F34*H34,"")</x:f>
        <x:v>0.0171</x:v>
      </x:c>
      <x:c r="J34" s="19" t="n">
        <x:f aca="0">IF(ISNUMBER(H34),G34*H34,"")</x:f>
        <x:v>0.0855</x:v>
      </x:c>
      <x:c r="K34" s="20" t="s">
        <x:v>22</x:v>
      </x:c>
      <x:c r="L34" s="16" t="s">
        <x:v>23</x:v>
      </x:c>
      <x:c r="M34" s="16" t="str">
        <x:f aca="0">IF(ISNUMBER(N34),IF(N34&lt;R34,"Short stock","Available"),"Stock unconfirmed")</x:f>
        <x:v>Available</x:v>
      </x:c>
      <x:c r="N34" s="40" t="n">
        <x:v>245164</x:v>
      </x:c>
      <x:c r="P34" s="29" t="n">
        <x:f>IF(G34=0,0,MAX(100,10*G34))</x:f>
        <x:v>100</x:v>
      </x:c>
      <x:c r="Q34" s="30"/>
      <x:c r="R34" s="29" t="n">
        <x:f>IF(Q34="",P34,MAX(P34,Q34))</x:f>
        <x:v>100</x:v>
      </x:c>
      <x:c r="S34" s="31" t="n">
        <x:f>IF(ISNUMBER(H34),R34*H34,"")</x:f>
        <x:v>1.71</x:v>
      </x:c>
      <x:c r="T34" s="26" t="str">
        <x:v>Passive: 100 or 10×</x:v>
      </x:c>
      <x:c r="U34" s="27" t="str">
        <x:v>Full reel preferred. Small orders: Digi-Reel with tape and cover-tape extenders.</x:v>
      </x:c>
      <x:c r="W34" s="27" t="str">
        <x:v>Repaired; page verified</x:v>
      </x:c>
      <x:c r="X34" s="38" t="d">
        <x:v>2026-10-08T00:00:00.000Z</x:v>
      </x:c>
      <x:c r="Y34" s="27" t="str">
        <x:v>Exact MPN matched; reported stock. Confirm at checkout.</x:v>
      </x:c>
    </x:row>
    <x:row r="35" ht="27" hidden="0" customHeight="1">
      <x:c r="A35" s="10" t="s">
        <x:v>105</x:v>
      </x:c>
      <x:c r="B35" s="10" t="s">
        <x:v>106</x:v>
      </x:c>
      <x:c r="C35" s="10" t="s">
        <x:v>84</x:v>
      </x:c>
      <x:c r="D35" s="10" t="s">
        <x:v>107</x:v>
      </x:c>
      <x:c r="E35" s="1" t="s">
        <x:v>21</x:v>
      </x:c>
      <x:c r="F35" s="11" t="n">
        <x:v>2</x:v>
      </x:c>
      <x:c r="G35" s="11" t="n">
        <x:f aca="0">F35*$B$4</x:f>
        <x:v>10</x:v>
      </x:c>
      <x:c r="H35" s="12" t="n">
        <x:f aca="0">IF(R35&gt;=1000,0.01767,IF(R35&gt;=500,0.02018,IF(R35&gt;=250,0.02336,IF(R35&gt;=100,0.029,IF(R35&gt;=50,0.0346,IF(R35&gt;=25,0.0416,IF(R35&gt;=10,0.054,0.12)))))))</x:f>
        <x:v>0.029</x:v>
      </x:c>
      <x:c r="I35" s="13" t="n">
        <x:f aca="0">IF(ISNUMBER(H35),F35*H35,"")</x:f>
        <x:v>0.058</x:v>
      </x:c>
      <x:c r="J35" s="13" t="n">
        <x:f aca="0">IF(ISNUMBER(H35),G35*H35,"")</x:f>
        <x:v>0.29000000000000004</x:v>
      </x:c>
      <x:c r="K35" s="14" t="s">
        <x:v>22</x:v>
      </x:c>
      <x:c r="L35" s="1" t="s">
        <x:v>23</x:v>
      </x:c>
      <x:c r="M35" s="1" t="str">
        <x:f aca="0">IF(ISNUMBER(N35),IF(N35&lt;R35,"Short stock","Available"),"Stock unconfirmed")</x:f>
        <x:v>Available</x:v>
      </x:c>
      <x:c r="N35" s="39" t="n">
        <x:v>732061</x:v>
      </x:c>
      <x:c r="P35" s="29" t="n">
        <x:f>IF(G35=0,0,MAX(100,10*G35))</x:f>
        <x:v>100</x:v>
      </x:c>
      <x:c r="Q35" s="30"/>
      <x:c r="R35" s="29" t="n">
        <x:f>IF(Q35="",P35,MAX(P35,Q35))</x:f>
        <x:v>100</x:v>
      </x:c>
      <x:c r="S35" s="31" t="n">
        <x:f>IF(ISNUMBER(H35),R35*H35,"")</x:f>
        <x:v>2.9000000000000004</x:v>
      </x:c>
      <x:c r="T35" s="26" t="str">
        <x:v>Passive: 100 or 10×</x:v>
      </x:c>
      <x:c r="U35" s="27" t="str">
        <x:v>Full reel preferred. Small orders: Digi-Reel with tape and cover-tape extenders.</x:v>
      </x:c>
      <x:c r="W35" s="27" t="str">
        <x:v>Repaired; page verified</x:v>
      </x:c>
      <x:c r="X35" s="38" t="d">
        <x:v>2026-10-08T00:00:00.000Z</x:v>
      </x:c>
      <x:c r="Y35" s="27" t="str">
        <x:v>Exact MPN matched; reported stock. Confirm at checkout.</x:v>
      </x:c>
    </x:row>
    <x:row r="36" ht="27" hidden="0" customHeight="1">
      <x:c r="A36" s="15" t="s">
        <x:v>108</x:v>
      </x:c>
      <x:c r="B36" s="15" t="s">
        <x:v>109</x:v>
      </x:c>
      <x:c r="C36" s="15" t="s">
        <x:v>84</x:v>
      </x:c>
      <x:c r="D36" s="15" t="s">
        <x:v>110</x:v>
      </x:c>
      <x:c r="E36" s="16" t="s">
        <x:v>21</x:v>
      </x:c>
      <x:c r="F36" s="17" t="n">
        <x:v>1</x:v>
      </x:c>
      <x:c r="G36" s="17" t="n">
        <x:f aca="0">F36*$B$4</x:f>
        <x:v>5</x:v>
      </x:c>
      <x:c r="H36" s="18" t="n">
        <x:f aca="0">IF(R36&gt;=1000,0.00973,IF(R36&gt;=500,0.01136,IF(R36&gt;=250,0.01344,IF(R36&gt;=100,0.0171,IF(R36&gt;=50,0.0208,IF(R36&gt;=25,0.0256,IF(R36&gt;=10,0.034,0.1)))))))</x:f>
        <x:v>0.0171</x:v>
      </x:c>
      <x:c r="I36" s="19" t="n">
        <x:f aca="0">IF(ISNUMBER(H36),F36*H36,"")</x:f>
        <x:v>0.0171</x:v>
      </x:c>
      <x:c r="J36" s="19" t="n">
        <x:f aca="0">IF(ISNUMBER(H36),G36*H36,"")</x:f>
        <x:v>0.0855</x:v>
      </x:c>
      <x:c r="K36" s="20" t="s">
        <x:v>22</x:v>
      </x:c>
      <x:c r="L36" s="16" t="s">
        <x:v>23</x:v>
      </x:c>
      <x:c r="M36" s="16" t="str">
        <x:f aca="0">IF(ISNUMBER(N36),IF(N36&lt;R36,"Short stock","Available"),"Stock unconfirmed")</x:f>
        <x:v>Available</x:v>
      </x:c>
      <x:c r="N36" s="40" t="n">
        <x:v>724039</x:v>
      </x:c>
      <x:c r="P36" s="29" t="n">
        <x:f>IF(G36=0,0,MAX(100,10*G36))</x:f>
        <x:v>100</x:v>
      </x:c>
      <x:c r="Q36" s="30"/>
      <x:c r="R36" s="29" t="n">
        <x:f>IF(Q36="",P36,MAX(P36,Q36))</x:f>
        <x:v>100</x:v>
      </x:c>
      <x:c r="S36" s="31" t="n">
        <x:f>IF(ISNUMBER(H36),R36*H36,"")</x:f>
        <x:v>1.71</x:v>
      </x:c>
      <x:c r="T36" s="26" t="str">
        <x:v>Passive: 100 or 10×</x:v>
      </x:c>
      <x:c r="U36" s="27" t="str">
        <x:v>Full reel preferred. Small orders: Digi-Reel with tape and cover-tape extenders.</x:v>
      </x:c>
      <x:c r="W36" s="27" t="str">
        <x:v>Repaired; page verified</x:v>
      </x:c>
      <x:c r="X36" s="38" t="d">
        <x:v>2026-10-08T00:00:00.000Z</x:v>
      </x:c>
      <x:c r="Y36" s="27" t="str">
        <x:v>Exact MPN matched; reported stock. Confirm at checkout.</x:v>
      </x:c>
    </x:row>
    <x:row r="37" ht="27" hidden="0" customHeight="1">
      <x:c r="A37" s="10" t="s">
        <x:v>111</x:v>
      </x:c>
      <x:c r="B37" s="10" t="s">
        <x:v>112</x:v>
      </x:c>
      <x:c r="C37" s="10" t="s">
        <x:v>84</x:v>
      </x:c>
      <x:c r="D37" s="10" t="s">
        <x:v>113</x:v>
      </x:c>
      <x:c r="E37" s="1" t="s">
        <x:v>21</x:v>
      </x:c>
      <x:c r="F37" s="11" t="n">
        <x:v>1</x:v>
      </x:c>
      <x:c r="G37" s="11" t="n">
        <x:f aca="0">F37*$B$4</x:f>
        <x:v>5</x:v>
      </x:c>
      <x:c r="H37" s="12" t="n">
        <x:f aca="0">IF(R37&gt;=1000,0.00973,IF(R37&gt;=500,0.01136,IF(R37&gt;=250,0.01344,IF(R37&gt;=100,0.0171,IF(R37&gt;=50,0.0208,IF(R37&gt;=25,0.0256,IF(R37&gt;=10,0.034,0.1)))))))</x:f>
        <x:v>0.0171</x:v>
      </x:c>
      <x:c r="I37" s="13" t="n">
        <x:f aca="0">IF(ISNUMBER(H37),F37*H37,"")</x:f>
        <x:v>0.0171</x:v>
      </x:c>
      <x:c r="J37" s="13" t="n">
        <x:f aca="0">IF(ISNUMBER(H37),G37*H37,"")</x:f>
        <x:v>0.0855</x:v>
      </x:c>
      <x:c r="K37" s="14" t="s">
        <x:v>22</x:v>
      </x:c>
      <x:c r="L37" s="1" t="s">
        <x:v>23</x:v>
      </x:c>
      <x:c r="M37" s="1" t="str">
        <x:f>IF(ISNUMBER(N37),IF(N37&lt;R37,"Short stock","Available"),"Stock unconfirmed")</x:f>
        <x:v>Available</x:v>
      </x:c>
      <x:c r="N37" s="39" t="n">
        <x:v>37932</x:v>
      </x:c>
      <x:c r="P37" s="29" t="n">
        <x:f>IF(G37=0,0,MAX(100,10*G37))</x:f>
        <x:v>100</x:v>
      </x:c>
      <x:c r="Q37" s="30"/>
      <x:c r="R37" s="29" t="n">
        <x:f>IF(Q37="",P37,MAX(P37,Q37))</x:f>
        <x:v>100</x:v>
      </x:c>
      <x:c r="S37" s="31" t="n">
        <x:f>IF(ISNUMBER(H37),R37*H37,"")</x:f>
        <x:v>1.71</x:v>
      </x:c>
      <x:c r="T37" s="26" t="str">
        <x:v>Passive: 100 or 10×</x:v>
      </x:c>
      <x:c r="U37" s="27" t="str">
        <x:v>Full reel preferred. Small orders: Digi-Reel with tape and cover-tape extenders.</x:v>
      </x:c>
      <x:c r="W37" s="27" t="str">
        <x:v>Repaired; page verified</x:v>
      </x:c>
      <x:c r="X37" s="38" t="d">
        <x:v>2026-10-08T00:00:00.000Z</x:v>
      </x:c>
      <x:c r="Y37" s="27" t="str">
        <x:v>Exact MPN matched; reported stock. Confirm at checkout.</x:v>
      </x:c>
    </x:row>
    <x:row r="38" ht="27" hidden="0" customHeight="1">
      <x:c r="A38" s="15" t="s">
        <x:v>114</x:v>
      </x:c>
      <x:c r="B38" s="15" t="s">
        <x:v>115</x:v>
      </x:c>
      <x:c r="C38" s="15" t="s">
        <x:v>84</x:v>
      </x:c>
      <x:c r="D38" s="15" t="s">
        <x:v>116</x:v>
      </x:c>
      <x:c r="E38" s="16" t="s">
        <x:v>21</x:v>
      </x:c>
      <x:c r="F38" s="17" t="n">
        <x:v>1</x:v>
      </x:c>
      <x:c r="G38" s="17" t="n">
        <x:f aca="0">F38*$B$4</x:f>
        <x:v>5</x:v>
      </x:c>
      <x:c r="H38" s="18" t="n">
        <x:f aca="0">IF(R38&gt;=1000,0.00973,IF(R38&gt;=500,0.01136,IF(R38&gt;=250,0.01344,IF(R38&gt;=100,0.0171,IF(R38&gt;=50,0.0208,IF(R38&gt;=25,0.0256,IF(R38&gt;=10,0.034,0.1)))))))</x:f>
        <x:v>0.0171</x:v>
      </x:c>
      <x:c r="I38" s="19" t="n">
        <x:f aca="0">IF(ISNUMBER(H38),F38*H38,"")</x:f>
        <x:v>0.0171</x:v>
      </x:c>
      <x:c r="J38" s="19" t="n">
        <x:f aca="0">IF(ISNUMBER(H38),G38*H38,"")</x:f>
        <x:v>0.0855</x:v>
      </x:c>
      <x:c r="K38" s="20" t="s">
        <x:v>22</x:v>
      </x:c>
      <x:c r="L38" s="16" t="s">
        <x:v>23</x:v>
      </x:c>
      <x:c r="M38" s="16" t="str">
        <x:f>IF(ISNUMBER(N38),IF(N38&lt;R38,"Short stock","Available"),"Stock unconfirmed")</x:f>
        <x:v>Available</x:v>
      </x:c>
      <x:c r="N38" s="40" t="n">
        <x:v>832298</x:v>
      </x:c>
      <x:c r="P38" s="29" t="n">
        <x:f>IF(G38=0,0,MAX(100,10*G38))</x:f>
        <x:v>100</x:v>
      </x:c>
      <x:c r="Q38" s="30"/>
      <x:c r="R38" s="29" t="n">
        <x:f>IF(Q38="",P38,MAX(P38,Q38))</x:f>
        <x:v>100</x:v>
      </x:c>
      <x:c r="S38" s="31" t="n">
        <x:f>IF(ISNUMBER(H38),R38*H38,"")</x:f>
        <x:v>1.71</x:v>
      </x:c>
      <x:c r="T38" s="26" t="str">
        <x:v>Passive: 100 or 10×</x:v>
      </x:c>
      <x:c r="U38" s="27" t="str">
        <x:v>Full reel preferred. Small orders: Digi-Reel with tape and cover-tape extenders.</x:v>
      </x:c>
      <x:c r="W38" s="27" t="str">
        <x:v>Repaired; page verified</x:v>
      </x:c>
      <x:c r="X38" s="38" t="d">
        <x:v>2026-10-08T00:00:00.000Z</x:v>
      </x:c>
      <x:c r="Y38" s="27" t="str">
        <x:v>Exact MPN matched; reported stock. Confirm at checkout.</x:v>
      </x:c>
    </x:row>
    <x:row r="39" ht="27" hidden="0" customHeight="1">
      <x:c r="A39" s="10" t="s">
        <x:v>117</x:v>
      </x:c>
      <x:c r="B39" s="10" t="s">
        <x:v>118</x:v>
      </x:c>
      <x:c r="C39" s="10" t="s">
        <x:v>84</x:v>
      </x:c>
      <x:c r="D39" s="10" t="s">
        <x:v>119</x:v>
      </x:c>
      <x:c r="E39" s="1" t="s">
        <x:v>21</x:v>
      </x:c>
      <x:c r="F39" s="11" t="n">
        <x:v>1</x:v>
      </x:c>
      <x:c r="G39" s="11" t="n">
        <x:f aca="0">F39*$B$4</x:f>
        <x:v>5</x:v>
      </x:c>
      <x:c r="H39" s="12" t="n">
        <x:f aca="0">IF(R39&gt;=1000,0.00973,IF(R39&gt;=500,0.01136,IF(R39&gt;=250,0.01344,IF(R39&gt;=100,0.0171,IF(R39&gt;=50,0.0208,IF(R39&gt;=25,0.0256,IF(R39&gt;=10,0.034,0.1)))))))</x:f>
        <x:v>0.0171</x:v>
      </x:c>
      <x:c r="I39" s="13" t="n">
        <x:f aca="0">IF(ISNUMBER(H39),F39*H39,"")</x:f>
        <x:v>0.0171</x:v>
      </x:c>
      <x:c r="J39" s="13" t="n">
        <x:f aca="0">IF(ISNUMBER(H39),G39*H39,"")</x:f>
        <x:v>0.0855</x:v>
      </x:c>
      <x:c r="K39" s="14" t="s">
        <x:v>22</x:v>
      </x:c>
      <x:c r="L39" s="1" t="s">
        <x:v>23</x:v>
      </x:c>
      <x:c r="M39" s="1" t="str">
        <x:f aca="0">IF(ISNUMBER(N39),IF(N39&lt;R39,"Short stock","Available"),"Stock unconfirmed")</x:f>
        <x:v>Available</x:v>
      </x:c>
      <x:c r="N39" s="39" t="n">
        <x:v>38077</x:v>
      </x:c>
      <x:c r="P39" s="29" t="n">
        <x:f>IF(G39=0,0,MAX(100,10*G39))</x:f>
        <x:v>100</x:v>
      </x:c>
      <x:c r="Q39" s="30"/>
      <x:c r="R39" s="29" t="n">
        <x:f>IF(Q39="",P39,MAX(P39,Q39))</x:f>
        <x:v>100</x:v>
      </x:c>
      <x:c r="S39" s="31" t="n">
        <x:f>IF(ISNUMBER(H39),R39*H39,"")</x:f>
        <x:v>1.71</x:v>
      </x:c>
      <x:c r="T39" s="26" t="str">
        <x:v>Passive: 100 or 10×</x:v>
      </x:c>
      <x:c r="U39" s="27" t="str">
        <x:v>Full reel preferred. Small orders: Digi-Reel with tape and cover-tape extenders.</x:v>
      </x:c>
      <x:c r="W39" s="27" t="str">
        <x:v>Repaired; page verified</x:v>
      </x:c>
      <x:c r="X39" s="38" t="d">
        <x:v>2026-10-08T00:00:00.000Z</x:v>
      </x:c>
      <x:c r="Y39" s="27" t="str">
        <x:v>Exact MPN matched; reported stock. Confirm at checkout.</x:v>
      </x:c>
    </x:row>
    <x:row r="40" ht="27" hidden="0" customHeight="1">
      <x:c r="A40" s="15" t="s">
        <x:v>120</x:v>
      </x:c>
      <x:c r="B40" s="15" t="s">
        <x:v>121</x:v>
      </x:c>
      <x:c r="C40" s="15" t="s">
        <x:v>84</x:v>
      </x:c>
      <x:c r="D40" s="15" t="s">
        <x:v>122</x:v>
      </x:c>
      <x:c r="E40" s="16" t="s">
        <x:v>21</x:v>
      </x:c>
      <x:c r="F40" s="17" t="n">
        <x:v>1</x:v>
      </x:c>
      <x:c r="G40" s="17" t="n">
        <x:f aca="0">F40*$B$4</x:f>
        <x:v>5</x:v>
      </x:c>
      <x:c r="H40" s="18" t="n">
        <x:f aca="0">IF(R40&gt;=1000,0.03376,IF(R40&gt;=500,0.0377,IF(R40&gt;=250,0.04268,IF(R40&gt;=100,0.0514,IF(R40&gt;=50,0.06,IF(R40&gt;=25,0.0712,IF(R40&gt;=10,0.09,0.18)))))))</x:f>
        <x:v>0.0514</x:v>
      </x:c>
      <x:c r="I40" s="19" t="n">
        <x:f aca="0">IF(ISNUMBER(H40),F40*H40,"")</x:f>
        <x:v>0.0514</x:v>
      </x:c>
      <x:c r="J40" s="19" t="n">
        <x:f aca="0">IF(ISNUMBER(H40),G40*H40,"")</x:f>
        <x:v>0.257</x:v>
      </x:c>
      <x:c r="K40" s="20" t="s">
        <x:v>22</x:v>
      </x:c>
      <x:c r="L40" s="16" t="s">
        <x:v>23</x:v>
      </x:c>
      <x:c r="M40" s="16" t="str">
        <x:f aca="0">IF(ISNUMBER(N40),IF(N40&lt;R40,"Short stock","Available"),"Stock unconfirmed")</x:f>
        <x:v>Available</x:v>
      </x:c>
      <x:c r="N40" s="40" t="n">
        <x:v>15988</x:v>
      </x:c>
      <x:c r="P40" s="29" t="n">
        <x:f>IF(G40=0,0,MAX(100,10*G40))</x:f>
        <x:v>100</x:v>
      </x:c>
      <x:c r="Q40" s="30"/>
      <x:c r="R40" s="29" t="n">
        <x:f>IF(Q40="",P40,MAX(P40,Q40))</x:f>
        <x:v>100</x:v>
      </x:c>
      <x:c r="S40" s="31" t="n">
        <x:f>IF(ISNUMBER(H40),R40*H40,"")</x:f>
        <x:v>5.140000000000001</x:v>
      </x:c>
      <x:c r="T40" s="26" t="str">
        <x:v>Passive: 100 or 10×</x:v>
      </x:c>
      <x:c r="U40" s="27" t="str">
        <x:v>Full reel preferred. Small orders: Digi-Reel with tape and cover-tape extenders.</x:v>
      </x:c>
      <x:c r="W40" s="27" t="str">
        <x:v>Repaired; page verified</x:v>
      </x:c>
      <x:c r="X40" s="38" t="d">
        <x:v>2026-10-08T00:00:00.000Z</x:v>
      </x:c>
      <x:c r="Y40" s="27" t="str">
        <x:v>Exact MPN matched; reported stock. Confirm at checkout.</x:v>
      </x:c>
    </x:row>
    <x:row r="41" ht="27" hidden="0" customHeight="1">
      <x:c r="A41" s="10" t="s">
        <x:v>123</x:v>
      </x:c>
      <x:c r="B41" s="10" t="s">
        <x:v>124</x:v>
      </x:c>
      <x:c r="C41" s="10" t="s">
        <x:v>84</x:v>
      </x:c>
      <x:c r="D41" s="10" t="s">
        <x:v>125</x:v>
      </x:c>
      <x:c r="E41" s="1" t="s">
        <x:v>21</x:v>
      </x:c>
      <x:c r="F41" s="11" t="n">
        <x:v>2</x:v>
      </x:c>
      <x:c r="G41" s="11" t="n">
        <x:f aca="0">F41*$B$4</x:f>
        <x:v>10</x:v>
      </x:c>
      <x:c r="H41" s="12" t="n">
        <x:f aca="0">IF(R41&gt;=100,0.0171,IF(R41&gt;=50,0.0208,IF(R41&gt;=25,0.0256,IF(R41&gt;=10,0.034,0.1))))</x:f>
        <x:v>0.0171</x:v>
      </x:c>
      <x:c r="I41" s="13" t="n">
        <x:f aca="0">IF(ISNUMBER(H41),F41*H41,"")</x:f>
        <x:v>0.0342</x:v>
      </x:c>
      <x:c r="J41" s="13" t="n">
        <x:f aca="0">IF(ISNUMBER(H41),G41*H41,"")</x:f>
        <x:v>0.171</x:v>
      </x:c>
      <x:c r="K41" s="14" t="s">
        <x:v>22</x:v>
      </x:c>
      <x:c r="L41" s="1" t="s">
        <x:v>23</x:v>
      </x:c>
      <x:c r="M41" s="1" t="str">
        <x:f aca="0">IF(ISNUMBER(N41),IF(N41&lt;R41,"Short stock","Available"),"Stock unconfirmed")</x:f>
        <x:v>Available</x:v>
      </x:c>
      <x:c r="N41" s="39" t="n">
        <x:v>1523983</x:v>
      </x:c>
      <x:c r="P41" s="29" t="n">
        <x:f>IF(G41=0,0,MAX(100,10*G41))</x:f>
        <x:v>100</x:v>
      </x:c>
      <x:c r="Q41" s="30"/>
      <x:c r="R41" s="29" t="n">
        <x:f>IF(Q41="",P41,MAX(P41,Q41))</x:f>
        <x:v>100</x:v>
      </x:c>
      <x:c r="S41" s="31" t="n">
        <x:f>IF(ISNUMBER(H41),R41*H41,"")</x:f>
        <x:v>1.71</x:v>
      </x:c>
      <x:c r="T41" s="26" t="str">
        <x:v>Passive: 100 or 10×</x:v>
      </x:c>
      <x:c r="U41" s="27" t="str">
        <x:v>Full reel preferred. Small orders: Digi-Reel with tape and cover-tape extenders.</x:v>
      </x:c>
      <x:c r="W41" s="27" t="str">
        <x:v>Repaired; page verified</x:v>
      </x:c>
      <x:c r="X41" s="38" t="d">
        <x:v>2026-10-08T00:00:00.000Z</x:v>
      </x:c>
      <x:c r="Y41" s="27" t="str">
        <x:v>Exact MPN matched; reported stock. Confirm at checkout.</x:v>
      </x:c>
    </x:row>
    <x:row r="42" ht="27" hidden="0" customHeight="1">
      <x:c r="A42" s="15" t="s">
        <x:v>126</x:v>
      </x:c>
      <x:c r="B42" s="15" t="s">
        <x:v>127</x:v>
      </x:c>
      <x:c r="C42" s="15" t="s">
        <x:v>128</x:v>
      </x:c>
      <x:c r="D42" s="15" t="s">
        <x:v>129</x:v>
      </x:c>
      <x:c r="E42" s="16" t="s">
        <x:v>21</x:v>
      </x:c>
      <x:c r="F42" s="17" t="n">
        <x:v>1</x:v>
      </x:c>
      <x:c r="G42" s="17" t="n">
        <x:f aca="0">F42*$B$4</x:f>
        <x:v>5</x:v>
      </x:c>
      <x:c r="H42" s="18" t="n">
        <x:f aca="0">IF(R42&gt;=1000,0.26458,IF(R42&gt;=500,0.27926,IF(R42&gt;=250,0.29772,IF(R42&gt;=100,0.3296,IF(R42&gt;=50,0.361,IF(R42&gt;=25,0.4008,IF(R42&gt;=10,0.47,0.78)))))))</x:f>
        <x:v>0.3296</x:v>
      </x:c>
      <x:c r="I42" s="19" t="n">
        <x:f aca="0">IF(ISNUMBER(H42),F42*H42,"")</x:f>
        <x:v>0.3296</x:v>
      </x:c>
      <x:c r="J42" s="19" t="n">
        <x:f aca="0">IF(ISNUMBER(H42),G42*H42,"")</x:f>
        <x:v>1.6480000000000001</x:v>
      </x:c>
      <x:c r="K42" s="20" t="s">
        <x:v>22</x:v>
      </x:c>
      <x:c r="L42" s="16" t="s">
        <x:v>23</x:v>
      </x:c>
      <x:c r="M42" s="16" t="str">
        <x:f aca="0">IF(ISNUMBER(N42),IF(N42&lt;R42,"Short stock","Available"),"Stock unconfirmed")</x:f>
        <x:v>Available</x:v>
      </x:c>
      <x:c r="N42" s="40" t="n">
        <x:v>8500</x:v>
      </x:c>
      <x:c r="P42" s="29" t="n">
        <x:f>IF(G42=0,0,MAX(100,10*G42))</x:f>
        <x:v>100</x:v>
      </x:c>
      <x:c r="Q42" s="30"/>
      <x:c r="R42" s="29" t="n">
        <x:f>IF(Q42="",P42,MAX(P42,Q42))</x:f>
        <x:v>100</x:v>
      </x:c>
      <x:c r="S42" s="31" t="n">
        <x:f>IF(ISNUMBER(H42),R42*H42,"")</x:f>
        <x:v>32.96</x:v>
      </x:c>
      <x:c r="T42" s="26" t="str">
        <x:v>Passive: 100 or 10×</x:v>
      </x:c>
      <x:c r="U42" s="27" t="str">
        <x:v>Full reel preferred. Small orders: Digi-Reel with tape and cover-tape extenders.</x:v>
      </x:c>
      <x:c r="W42" s="27" t="str">
        <x:v>Repaired; page verified</x:v>
      </x:c>
      <x:c r="X42" s="38" t="d">
        <x:v>2026-10-08T00:00:00.000Z</x:v>
      </x:c>
      <x:c r="Y42" s="27" t="str">
        <x:v>Exact MPN matched; reported stock. Confirm at checkout.</x:v>
      </x:c>
    </x:row>
    <x:row r="43" ht="27" hidden="0" customHeight="1">
      <x:c r="A43" s="10" t="s">
        <x:v>130</x:v>
      </x:c>
      <x:c r="B43" s="10" t="s">
        <x:v>131</x:v>
      </x:c>
      <x:c r="C43" s="10" t="s">
        <x:v>128</x:v>
      </x:c>
      <x:c r="D43" s="10" t="s">
        <x:v>132</x:v>
      </x:c>
      <x:c r="E43" s="1" t="s">
        <x:v>21</x:v>
      </x:c>
      <x:c r="F43" s="11" t="n">
        <x:v>1</x:v>
      </x:c>
      <x:c r="G43" s="11" t="n">
        <x:f aca="0">F43*$B$4</x:f>
        <x:v>5</x:v>
      </x:c>
      <x:c r="H43" s="12" t="n">
        <x:f aca="0">IF(R43&gt;=1000,0.35468,IF(R43&gt;=500,0.37218,IF(R43&gt;=250,0.3942,IF(R43&gt;=100,0.4322,IF(R43&gt;=50,0.4698,IF(R43&gt;=25,0.5168,IF(R43&gt;=10,0.599,0.96)))))))</x:f>
        <x:v>0.4322</x:v>
      </x:c>
      <x:c r="I43" s="13" t="n">
        <x:f aca="0">IF(ISNUMBER(H43),F43*H43,"")</x:f>
        <x:v>0.4322</x:v>
      </x:c>
      <x:c r="J43" s="13" t="n">
        <x:f aca="0">IF(ISNUMBER(H43),G43*H43,"")</x:f>
        <x:v>2.161</x:v>
      </x:c>
      <x:c r="K43" s="14" t="s">
        <x:v>22</x:v>
      </x:c>
      <x:c r="L43" s="1" t="s">
        <x:v>23</x:v>
      </x:c>
      <x:c r="M43" s="1" t="str">
        <x:f>IF(ISNUMBER(N43),IF(N43&lt;R43,"Short stock","Available"),"Stock unconfirmed")</x:f>
        <x:v>Available</x:v>
      </x:c>
      <x:c r="N43" s="39" t="n">
        <x:v>14703</x:v>
      </x:c>
      <x:c r="P43" s="29" t="n">
        <x:f>IF(G43=0,0,MAX(100,10*G43))</x:f>
        <x:v>100</x:v>
      </x:c>
      <x:c r="Q43" s="30"/>
      <x:c r="R43" s="29" t="n">
        <x:f>IF(Q43="",P43,MAX(P43,Q43))</x:f>
        <x:v>100</x:v>
      </x:c>
      <x:c r="S43" s="31" t="n">
        <x:f>IF(ISNUMBER(H43),R43*H43,"")</x:f>
        <x:v>43.22</x:v>
      </x:c>
      <x:c r="T43" s="26" t="str">
        <x:v>Passive: 100 or 10×</x:v>
      </x:c>
      <x:c r="U43" s="27" t="str">
        <x:v>Full reel preferred. Small orders: Digi-Reel with tape and cover-tape extenders.</x:v>
      </x:c>
      <x:c r="W43" s="27" t="str">
        <x:v>Repaired; page verified</x:v>
      </x:c>
      <x:c r="X43" s="38" t="d">
        <x:v>2026-10-08T00:00:00.000Z</x:v>
      </x:c>
      <x:c r="Y43" s="27" t="str">
        <x:v>Exact MPN matched; reported stock. Confirm at checkout.</x:v>
      </x:c>
    </x:row>
    <x:row r="44" ht="27" hidden="0" customHeight="1">
      <x:c r="A44" s="15" t="s">
        <x:v>133</x:v>
      </x:c>
      <x:c r="B44" s="15" t="s">
        <x:v>134</x:v>
      </x:c>
      <x:c r="C44" s="15" t="s">
        <x:v>135</x:v>
      </x:c>
      <x:c r="D44" s="15" t="s">
        <x:v>136</x:v>
      </x:c>
      <x:c r="E44" s="16" t="s">
        <x:v>21</x:v>
      </x:c>
      <x:c r="F44" s="17" t="n">
        <x:v>1</x:v>
      </x:c>
      <x:c r="G44" s="17" t="n">
        <x:f aca="0">F44*$B$4</x:f>
        <x:v>5</x:v>
      </x:c>
      <x:c r="H44" s="18" t="n">
        <x:f aca="0">IF(R44&gt;=1000,0.00973,IF(R44&gt;=500,0.01136,IF(R44&gt;=250,0.01344,IF(R44&gt;=100,0.0171,IF(R44&gt;=50,0.0208,IF(R44&gt;=25,0.0256,IF(R44&gt;=10,0.034,0.1)))))))</x:f>
        <x:v>0.0171</x:v>
      </x:c>
      <x:c r="I44" s="19" t="n">
        <x:f aca="0">IF(ISNUMBER(H44),F44*H44,"")</x:f>
        <x:v>0.0171</x:v>
      </x:c>
      <x:c r="J44" s="19" t="n">
        <x:f aca="0">IF(ISNUMBER(H44),G44*H44,"")</x:f>
        <x:v>0.0855</x:v>
      </x:c>
      <x:c r="K44" s="20" t="s">
        <x:v>22</x:v>
      </x:c>
      <x:c r="L44" s="16" t="s">
        <x:v>23</x:v>
      </x:c>
      <x:c r="M44" s="16" t="str">
        <x:f aca="0">IF(ISNUMBER(N44),IF(N44&lt;R44,"Short stock","Available"),"Stock unconfirmed")</x:f>
        <x:v>Available</x:v>
      </x:c>
      <x:c r="N44" s="40" t="n">
        <x:v>1312828</x:v>
      </x:c>
      <x:c r="P44" s="29" t="n">
        <x:f>IF(G44=0,0,MAX(100,10*G44))</x:f>
        <x:v>100</x:v>
      </x:c>
      <x:c r="Q44" s="30"/>
      <x:c r="R44" s="29" t="n">
        <x:f>IF(Q44="",P44,MAX(P44,Q44))</x:f>
        <x:v>100</x:v>
      </x:c>
      <x:c r="S44" s="31" t="n">
        <x:f>IF(ISNUMBER(H44),R44*H44,"")</x:f>
        <x:v>1.71</x:v>
      </x:c>
      <x:c r="T44" s="26" t="str">
        <x:v>Passive: 100 or 10×</x:v>
      </x:c>
      <x:c r="U44" s="27" t="str">
        <x:v>Full reel preferred. Small orders: Digi-Reel with tape and cover-tape extenders.</x:v>
      </x:c>
      <x:c r="W44" s="27" t="str">
        <x:v>Repaired; page verified</x:v>
      </x:c>
      <x:c r="X44" s="38" t="d">
        <x:v>2026-10-08T00:00:00.000Z</x:v>
      </x:c>
      <x:c r="Y44" s="27" t="str">
        <x:v>Exact MPN matched; reported stock. Confirm at checkout.</x:v>
      </x:c>
    </x:row>
    <x:row r="45" ht="27" hidden="0" customHeight="1">
      <x:c r="A45" s="10" t="s">
        <x:v>137</x:v>
      </x:c>
      <x:c r="B45" s="10" t="s">
        <x:v>138</x:v>
      </x:c>
      <x:c r="C45" s="10" t="s">
        <x:v>139</x:v>
      </x:c>
      <x:c r="D45" s="10" t="s">
        <x:v>140</x:v>
      </x:c>
      <x:c r="E45" s="1" t="s">
        <x:v>21</x:v>
      </x:c>
      <x:c r="F45" s="11" t="n">
        <x:v>1</x:v>
      </x:c>
      <x:c r="G45" s="11" t="n">
        <x:f aca="0">F45*$B$4</x:f>
        <x:v>5</x:v>
      </x:c>
      <x:c r="H45" s="12" t="n">
        <x:f aca="0">IF(R45&gt;=250,6.65552,IF(R45&gt;=100,6.7577,IF(R45&gt;=25,7.3728,IF(R45&gt;=10,7.933,10.17))))</x:f>
        <x:v>10.17</x:v>
      </x:c>
      <x:c r="I45" s="13" t="n">
        <x:f aca="0">IF(ISNUMBER(H45),F45*H45,"")</x:f>
        <x:v>10.17</x:v>
      </x:c>
      <x:c r="J45" s="13" t="n">
        <x:f aca="0">IF(ISNUMBER(H45),G45*H45,"")</x:f>
        <x:v>50.85</x:v>
      </x:c>
      <x:c r="K45" s="14" t="s">
        <x:v>22</x:v>
      </x:c>
      <x:c r="L45" s="1" t="s">
        <x:v>23</x:v>
      </x:c>
      <x:c r="M45" s="1" t="str">
        <x:f aca="0">IF(ISNUMBER(N45),IF(N45&lt;R45,"Short stock","Available"),"Stock unconfirmed")</x:f>
        <x:v>Short stock</x:v>
      </x:c>
      <x:c r="N45" s="39" t="n">
        <x:v>0</x:v>
      </x:c>
      <x:c r="P45" s="29" t="n">
        <x:f>ROUNDUP(G45*1.2,0)</x:f>
        <x:v>6</x:v>
      </x:c>
      <x:c r="Q45" s="30"/>
      <x:c r="R45" s="29" t="n">
        <x:f>IF(Q45="",P45,MAX(P45,Q45))</x:f>
        <x:v>6</x:v>
      </x:c>
      <x:c r="S45" s="31" t="n">
        <x:f>IF(ISNUMBER(H45),R45*H45,"")</x:f>
        <x:v>61.019999999999996</x:v>
      </x:c>
      <x:c r="T45" s="26" t="str">
        <x:v>Other: +20%</x:v>
      </x:c>
      <x:c r="U45" s="27" t="str">
        <x:v>Full reel preferred. Small orders: Digi-Reel with tape and cover-tape extenders.</x:v>
      </x:c>
      <x:c r="W45" s="27" t="str">
        <x:v>Repaired; page verified</x:v>
      </x:c>
      <x:c r="X45" s="38" t="d">
        <x:v>2026-10-08T00:00:00.000Z</x:v>
      </x:c>
      <x:c r="Y45" s="27" t="str">
        <x:v>Supplier expects 2,500 on Oct 13, 2026. Expected arrivals are estimates.</x:v>
      </x:c>
    </x:row>
    <x:row r="46" ht="27" hidden="0" customHeight="1">
      <x:c r="A46" s="15" t="s">
        <x:v>141</x:v>
      </x:c>
      <x:c r="B46" s="15" t="s">
        <x:v>142</x:v>
      </x:c>
      <x:c r="C46" s="15" t="s">
        <x:v>143</x:v>
      </x:c>
      <x:c r="D46" s="15" t="s">
        <x:v>142</x:v>
      </x:c>
      <x:c r="E46" s="16" t="s">
        <x:v>21</x:v>
      </x:c>
      <x:c r="F46" s="17" t="n">
        <x:v>1</x:v>
      </x:c>
      <x:c r="G46" s="17" t="n">
        <x:f aca="0">F46*$B$4</x:f>
        <x:v>5</x:v>
      </x:c>
      <x:c r="H46" s="18" t="n">
        <x:v>4.68</x:v>
      </x:c>
      <x:c r="I46" s="19" t="n">
        <x:f aca="0">IF(ISNUMBER(H46),F46*H46,"")</x:f>
        <x:v>4.68</x:v>
      </x:c>
      <x:c r="J46" s="19" t="n">
        <x:f aca="0">IF(ISNUMBER(H46),G46*H46,"")</x:f>
        <x:v>23.4</x:v>
      </x:c>
      <x:c r="K46" s="20" t="s">
        <x:v>22</x:v>
      </x:c>
      <x:c r="L46" s="16" t="s">
        <x:v>67</x:v>
      </x:c>
      <x:c r="M46" s="16" t="str">
        <x:f aca="0">IF(ISNUMBER(N46),IF(N46&lt;R46,"Short stock","Available"),"Stock unconfirmed")</x:f>
        <x:v>Short stock</x:v>
      </x:c>
      <x:c r="N46" s="40" t="n">
        <x:v>0</x:v>
      </x:c>
      <x:c r="P46" s="29" t="n">
        <x:f>ROUNDUP(G46*1.2,0)</x:f>
        <x:v>6</x:v>
      </x:c>
      <x:c r="Q46" s="30"/>
      <x:c r="R46" s="29" t="n">
        <x:f>IF(Q46="",P46,MAX(P46,Q46))</x:f>
        <x:v>6</x:v>
      </x:c>
      <x:c r="S46" s="31" t="n">
        <x:f>IF(ISNUMBER(H46),R46*H46,"")</x:f>
        <x:v>28.08</x:v>
      </x:c>
      <x:c r="T46" s="26" t="str">
        <x:v>Other: +20%</x:v>
      </x:c>
      <x:c r="U46" s="27" t="str">
        <x:v>Full reel preferred. Small orders: Digi-Reel with tape and cover-tape extenders.</x:v>
      </x:c>
      <x:c r="W46" s="27" t="str">
        <x:v>Repaired; page verified</x:v>
      </x:c>
      <x:c r="X46" s="38" t="d">
        <x:v>2026-10-08T00:00:00.000Z</x:v>
      </x:c>
      <x:c r="Y46" s="27" t="str">
        <x:v>Supplier expects 1,903 on Jan 4 and 597 on Jan 7, 2027. Expected arrivals are estimates.</x:v>
      </x:c>
    </x:row>
    <x:row r="47" ht="27" hidden="0" customHeight="1">
      <x:c r="A47" s="10" t="s">
        <x:v>144</x:v>
      </x:c>
      <x:c r="B47" s="10" t="s">
        <x:v>145</x:v>
      </x:c>
      <x:c r="C47" s="10" t="s">
        <x:v>139</x:v>
      </x:c>
      <x:c r="D47" s="10" t="s">
        <x:v>146</x:v>
      </x:c>
      <x:c r="E47" s="1" t="s">
        <x:v>21</x:v>
      </x:c>
      <x:c r="F47" s="11" t="n">
        <x:v>1</x:v>
      </x:c>
      <x:c r="G47" s="11" t="n">
        <x:f aca="0">F47*$B$4</x:f>
        <x:v>5</x:v>
      </x:c>
      <x:c r="H47" s="12" t="n">
        <x:f aca="0">IF(R47&gt;=250,4.02392,IF(R47&gt;=100,4.1691,IF(R47&gt;=25,4.5808,IF(R47&gt;=10,4.955,6.45))))</x:f>
        <x:v>6.45</x:v>
      </x:c>
      <x:c r="I47" s="13" t="n">
        <x:f aca="0">IF(ISNUMBER(H47),F47*H47,"")</x:f>
        <x:v>6.45</x:v>
      </x:c>
      <x:c r="J47" s="13" t="n">
        <x:f aca="0">IF(ISNUMBER(H47),G47*H47,"")</x:f>
        <x:v>32.25</x:v>
      </x:c>
      <x:c r="K47" s="14" t="s">
        <x:v>22</x:v>
      </x:c>
      <x:c r="L47" s="1" t="s">
        <x:v>23</x:v>
      </x:c>
      <x:c r="M47" s="1" t="str">
        <x:f aca="0">IF(ISNUMBER(N47),IF(N47&lt;R47,"Short stock","Available"),"Stock unconfirmed")</x:f>
        <x:v>Available</x:v>
      </x:c>
      <x:c r="N47" s="39" t="n">
        <x:v>1663</x:v>
      </x:c>
      <x:c r="P47" s="29" t="n">
        <x:f>ROUNDUP(G47*1.2,0)</x:f>
        <x:v>6</x:v>
      </x:c>
      <x:c r="Q47" s="30"/>
      <x:c r="R47" s="29" t="n">
        <x:f>IF(Q47="",P47,MAX(P47,Q47))</x:f>
        <x:v>6</x:v>
      </x:c>
      <x:c r="S47" s="31" t="n">
        <x:f>IF(ISNUMBER(H47),R47*H47,"")</x:f>
        <x:v>38.7</x:v>
      </x:c>
      <x:c r="T47" s="26" t="str">
        <x:v>Other: +20%</x:v>
      </x:c>
      <x:c r="U47" s="27" t="str">
        <x:v>Full reel preferred. Small orders: Digi-Reel with tape and cover-tape extenders.</x:v>
      </x:c>
      <x:c r="W47" s="27" t="str">
        <x:v>Repaired; page verified</x:v>
      </x:c>
      <x:c r="X47" s="38" t="d">
        <x:v>2026-10-08T00:00:00.000Z</x:v>
      </x:c>
      <x:c r="Y47" s="27" t="str">
        <x:v>Exact MPN matched; reported stock. Confirm at checkout.</x:v>
      </x:c>
    </x:row>
    <x:row r="48" ht="27" hidden="0" customHeight="1">
      <x:c r="A48" s="15" t="s">
        <x:v>147</x:v>
      </x:c>
      <x:c r="B48" s="15" t="s">
        <x:v>148</x:v>
      </x:c>
      <x:c r="C48" s="15" t="s">
        <x:v>149</x:v>
      </x:c>
      <x:c r="D48" s="15" t="s">
        <x:v>150</x:v>
      </x:c>
      <x:c r="E48" s="16" t="s">
        <x:v>21</x:v>
      </x:c>
      <x:c r="F48" s="17" t="n">
        <x:v>1</x:v>
      </x:c>
      <x:c r="G48" s="17" t="n">
        <x:f aca="0">F48*$B$4</x:f>
        <x:v>5</x:v>
      </x:c>
      <x:c r="H48" s="18" t="n">
        <x:f aca="0">IF(R48&gt;=1000,0.07973,IF(R48&gt;=500,0.08374,IF(R48&gt;=250,0.0886,IF(R48&gt;=100,0.0967,IF(R48&gt;=25,0.1136,IF(R48&gt;=10,0.129,0.19))))))</x:f>
        <x:v>0.19</x:v>
      </x:c>
      <x:c r="I48" s="19" t="n">
        <x:f aca="0">IF(ISNUMBER(H48),F48*H48,"")</x:f>
        <x:v>0.19</x:v>
      </x:c>
      <x:c r="J48" s="19" t="n">
        <x:f aca="0">IF(ISNUMBER(H48),G48*H48,"")</x:f>
        <x:v>0.95</x:v>
      </x:c>
      <x:c r="K48" s="20" t="s">
        <x:v>22</x:v>
      </x:c>
      <x:c r="L48" s="16" t="s">
        <x:v>23</x:v>
      </x:c>
      <x:c r="M48" s="16" t="str">
        <x:f aca="0">IF(ISNUMBER(N48),IF(N48&lt;R48,"Short stock","Available"),"Stock unconfirmed")</x:f>
        <x:v>Available</x:v>
      </x:c>
      <x:c r="N48" s="40" t="n">
        <x:v>10686</x:v>
      </x:c>
      <x:c r="P48" s="29" t="n">
        <x:f>ROUNDUP(G48*1.2,0)</x:f>
        <x:v>6</x:v>
      </x:c>
      <x:c r="Q48" s="30"/>
      <x:c r="R48" s="29" t="n">
        <x:f>IF(Q48="",P48,MAX(P48,Q48))</x:f>
        <x:v>6</x:v>
      </x:c>
      <x:c r="S48" s="31" t="n">
        <x:f>IF(ISNUMBER(H48),R48*H48,"")</x:f>
        <x:v>1.1400000000000001</x:v>
      </x:c>
      <x:c r="T48" s="26" t="str">
        <x:v>Other: +20%</x:v>
      </x:c>
      <x:c r="U48" s="27" t="str">
        <x:v>Full reel preferred. Small orders: Digi-Reel with tape and cover-tape extenders.</x:v>
      </x:c>
      <x:c r="W48" s="27" t="str">
        <x:v>Repaired; page verified</x:v>
      </x:c>
      <x:c r="X48" s="38" t="d">
        <x:v>2026-10-08T00:00:00.000Z</x:v>
      </x:c>
      <x:c r="Y48" s="27" t="str">
        <x:v>Exact MPN matched; reported stock. Confirm at checkout.</x:v>
      </x:c>
    </x:row>
    <x:row r="49" ht="27" hidden="0" customHeight="1">
      <x:c r="A49" s="10" t="s">
        <x:v>151</x:v>
      </x:c>
      <x:c r="B49" s="10" t="s">
        <x:v>152</x:v>
      </x:c>
      <x:c r="C49" s="10" t="s">
        <x:v>139</x:v>
      </x:c>
      <x:c r="D49" s="10" t="s">
        <x:v>153</x:v>
      </x:c>
      <x:c r="E49" s="1" t="s">
        <x:v>21</x:v>
      </x:c>
      <x:c r="F49" s="11" t="n">
        <x:v>1</x:v>
      </x:c>
      <x:c r="G49" s="11" t="n">
        <x:f aca="0">F49*$B$4</x:f>
        <x:v>5</x:v>
      </x:c>
      <x:c r="H49" s="12" t="n">
        <x:f aca="0">IF(R49&gt;=250,6.1812,IF(R49&gt;=100,6.2941,IF(R49&gt;=25,6.874,IF(R49&gt;=10,7.402,9.51))))</x:f>
        <x:v>9.51</x:v>
      </x:c>
      <x:c r="I49" s="13" t="n">
        <x:f aca="0">IF(ISNUMBER(H49),F49*H49,"")</x:f>
        <x:v>9.51</x:v>
      </x:c>
      <x:c r="J49" s="13" t="n">
        <x:f aca="0">IF(ISNUMBER(H49),G49*H49,"")</x:f>
        <x:v>47.55</x:v>
      </x:c>
      <x:c r="K49" s="14" t="s">
        <x:v>22</x:v>
      </x:c>
      <x:c r="L49" s="1" t="s">
        <x:v>23</x:v>
      </x:c>
      <x:c r="M49" s="1" t="str">
        <x:f aca="0">IF(ISNUMBER(N49),IF(N49&lt;R49,"Short stock","Available"),"Stock unconfirmed")</x:f>
        <x:v>Available</x:v>
      </x:c>
      <x:c r="N49" s="39" t="n">
        <x:v>6425</x:v>
      </x:c>
      <x:c r="P49" s="29" t="n">
        <x:f>ROUNDUP(G49*1.2,0)</x:f>
        <x:v>6</x:v>
      </x:c>
      <x:c r="Q49" s="30"/>
      <x:c r="R49" s="29" t="n">
        <x:f>IF(Q49="",P49,MAX(P49,Q49))</x:f>
        <x:v>6</x:v>
      </x:c>
      <x:c r="S49" s="31" t="n">
        <x:f>IF(ISNUMBER(H49),R49*H49,"")</x:f>
        <x:v>57.06</x:v>
      </x:c>
      <x:c r="T49" s="26" t="str">
        <x:v>Other: +20%</x:v>
      </x:c>
      <x:c r="U49" s="27" t="str">
        <x:v>Full reel preferred. Small orders: Digi-Reel with tape and cover-tape extenders.</x:v>
      </x:c>
      <x:c r="W49" s="27" t="str">
        <x:v>Repaired; page verified</x:v>
      </x:c>
      <x:c r="X49" s="38" t="d">
        <x:v>2026-10-08T00:00:00.000Z</x:v>
      </x:c>
      <x:c r="Y49" s="27" t="str">
        <x:v>Exact MPN matched; reported stock. Confirm at checkout.</x:v>
      </x:c>
    </x:row>
    <x:row r="50" ht="27" hidden="0" customHeight="1">
      <x:c r="A50" s="15" t="s">
        <x:v>154</x:v>
      </x:c>
      <x:c r="B50" s="15" t="s">
        <x:v>155</x:v>
      </x:c>
      <x:c r="C50" s="15" t="s">
        <x:v>156</x:v>
      </x:c>
      <x:c r="D50" s="15" t="s">
        <x:v>157</x:v>
      </x:c>
      <x:c r="E50" s="16" t="s">
        <x:v>21</x:v>
      </x:c>
      <x:c r="F50" s="17" t="n">
        <x:v>1</x:v>
      </x:c>
      <x:c r="G50" s="17" t="n">
        <x:f aca="0">F50*$B$4</x:f>
        <x:v>5</x:v>
      </x:c>
      <x:c r="H50" s="18" t="n">
        <x:f aca="0">IF(R50&gt;=100,0.2301,IF(R50&gt;=50,0.2494,IF(R50&gt;=10,0.301,IF(R50&gt;=5,0.326,0.39))))</x:f>
        <x:v>0.326</x:v>
      </x:c>
      <x:c r="I50" s="19" t="n">
        <x:f aca="0">IF(ISNUMBER(H50),F50*H50,"")</x:f>
        <x:v>0.326</x:v>
      </x:c>
      <x:c r="J50" s="19" t="n">
        <x:f aca="0">IF(ISNUMBER(H50),G50*H50,"")</x:f>
        <x:v>1.6300000000000001</x:v>
      </x:c>
      <x:c r="K50" s="20" t="s">
        <x:v>22</x:v>
      </x:c>
      <x:c r="L50" s="16" t="s">
        <x:v>23</x:v>
      </x:c>
      <x:c r="M50" s="16" t="str">
        <x:f aca="0">IF(ISNUMBER(N50),IF(N50&lt;R50,"Short stock","Available"),"Stock unconfirmed")</x:f>
        <x:v>Available</x:v>
      </x:c>
      <x:c r="N50" s="40" t="n">
        <x:v>42496</x:v>
      </x:c>
      <x:c r="P50" s="29" t="n">
        <x:f>ROUNDUP(G50*1.2,0)</x:f>
        <x:v>6</x:v>
      </x:c>
      <x:c r="Q50" s="30"/>
      <x:c r="R50" s="29" t="n">
        <x:f>IF(Q50="",P50,MAX(P50,Q50))</x:f>
        <x:v>6</x:v>
      </x:c>
      <x:c r="S50" s="31" t="n">
        <x:f>IF(ISNUMBER(H50),R50*H50,"")</x:f>
        <x:v>1.956</x:v>
      </x:c>
      <x:c r="T50" s="26" t="str">
        <x:v>Other: +20%</x:v>
      </x:c>
      <x:c r="U50" s="27" t="str">
        <x:v>Confirm packaging and manual assembly with the team.</x:v>
      </x:c>
      <x:c r="W50" s="27" t="str">
        <x:v>Repaired; page verified</x:v>
      </x:c>
      <x:c r="X50" s="38" t="d">
        <x:v>2026-10-08T00:00:00.000Z</x:v>
      </x:c>
      <x:c r="Y50" s="27" t="str">
        <x:v>Exact MPN matched; reported stock. Confirm at checkout.</x:v>
      </x:c>
    </x:row>
    <x:row r="51" ht="27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S51" s="32"/>
    </x:row>
    <x:row r="52" ht="27" hidden="0" customHeight="1">
      <x:c r="A52" s="21" t="s">
        <x:v>158</x:v>
      </x:c>
      <x:c r="B52" s="21"/>
      <x:c r="C52" s="21"/>
      <x:c r="D52" s="21"/>
      <x:c r="E52" s="21"/>
      <x:c r="F52" s="21"/>
      <x:c r="G52" s="21"/>
      <x:c r="H52" s="21"/>
      <x:c r="I52" s="22" t="n">
        <x:f aca="0">SUM(I9:I50)</x:f>
        <x:v>52.25699999999999</x:v>
      </x:c>
      <x:c r="J52" s="22" t="n">
        <x:f aca="0">SUM(J9:J50)</x:f>
        <x:v>261.28499999999997</x:v>
      </x:c>
      <x:c r="K52" s="21"/>
      <x:c r="L52" s="21"/>
      <x:c r="M52" s="21"/>
      <x:c r="N52" s="21"/>
      <x:c r="P52" s="33" t="str">
        <x:v>PURCHASE TOTAL (USD)</x:v>
      </x:c>
      <x:c r="Q52" s="33"/>
      <x:c r="R52" s="33"/>
      <x:c r="S52" s="34" t="n">
        <x:f>SUM(S9:S50)</x:f>
        <x:v>705.1752</x:v>
      </x:c>
    </x:row>
  </x:sheetData>
  <x:mergeCells>
    <x:mergeCell ref="A2:N2"/>
    <x:mergeCell ref="A6:N6"/>
    <x:mergeCell ref="A7:N7"/>
    <x:mergeCell ref="P2:U2"/>
    <x:mergeCell ref="P3:U3"/>
    <x:mergeCell ref="P4:U4"/>
    <x:mergeCell ref="P5:U5"/>
    <x:mergeCell ref="P6:U6"/>
    <x:mergeCell ref="P7:U7"/>
    <x:mergeCell ref="P52:R52"/>
  </x:mergeCells>
  <x:conditionalFormatting sqref="M9:M50">
    <x:cfRule type="expression" dxfId="0" priority="2" aboveAverage="0" percent="0" bottom="0" rank="0" equalAverage="0">
      <x:formula>NOT(ISERROR(SEARCH("Short stock",A1)))</x:formula>
    </x:cfRule>
    <x:cfRule type="containsText" dxfId="1" priority="3" operator="containsText" text="Stock unconfirmed"/>
  </x:conditionalFormatting>
  <x:dataValidations count="1">
    <x:dataValidation type="whole" errorStyle="stop" operator="between" allowBlank="0" showDropDown="0" showInputMessage="0" showErrorMessage="0" sqref="B4">
      <x:formula1>1</x:formula1>
      <x:formula2>10000</x:formula2>
    </x:dataValidation>
  </x:dataValidations>
  <x:hyperlinks>
    <x:hyperlink xmlns:r="http://schemas.openxmlformats.org/officeDocument/2006/relationships" ref="K9" r:id="Rea13c52f8c124604"/>
    <x:hyperlink xmlns:r="http://schemas.openxmlformats.org/officeDocument/2006/relationships" ref="K10" r:id="Radc5d017c8ef45a0"/>
    <x:hyperlink xmlns:r="http://schemas.openxmlformats.org/officeDocument/2006/relationships" ref="K11" r:id="R316017bd95194e9d"/>
    <x:hyperlink xmlns:r="http://schemas.openxmlformats.org/officeDocument/2006/relationships" ref="K12" r:id="R26767bccf2b44759"/>
    <x:hyperlink xmlns:r="http://schemas.openxmlformats.org/officeDocument/2006/relationships" ref="K13" r:id="Rd00d99eb7a674473"/>
    <x:hyperlink xmlns:r="http://schemas.openxmlformats.org/officeDocument/2006/relationships" ref="K14" r:id="R750c6d932c814ef9"/>
    <x:hyperlink xmlns:r="http://schemas.openxmlformats.org/officeDocument/2006/relationships" ref="K15" r:id="Re57bc7b2b59b4787"/>
    <x:hyperlink xmlns:r="http://schemas.openxmlformats.org/officeDocument/2006/relationships" ref="K16" r:id="Rbf3d0f4528184afd"/>
    <x:hyperlink xmlns:r="http://schemas.openxmlformats.org/officeDocument/2006/relationships" ref="K17" r:id="R0a003a27f8094495"/>
    <x:hyperlink xmlns:r="http://schemas.openxmlformats.org/officeDocument/2006/relationships" ref="K18" r:id="R6d29897940904601"/>
    <x:hyperlink xmlns:r="http://schemas.openxmlformats.org/officeDocument/2006/relationships" ref="K19" r:id="Rc43cc238730d4c68"/>
    <x:hyperlink xmlns:r="http://schemas.openxmlformats.org/officeDocument/2006/relationships" ref="K20" r:id="R1f23888e9d2141f3"/>
    <x:hyperlink xmlns:r="http://schemas.openxmlformats.org/officeDocument/2006/relationships" ref="K21" r:id="R623b9a7c451348f7"/>
    <x:hyperlink xmlns:r="http://schemas.openxmlformats.org/officeDocument/2006/relationships" ref="K22" r:id="R67047e9f99ea4d2f"/>
    <x:hyperlink xmlns:r="http://schemas.openxmlformats.org/officeDocument/2006/relationships" ref="K23" r:id="Rf163647432c34955"/>
    <x:hyperlink xmlns:r="http://schemas.openxmlformats.org/officeDocument/2006/relationships" ref="K24" r:id="Rc337971a95004862"/>
    <x:hyperlink xmlns:r="http://schemas.openxmlformats.org/officeDocument/2006/relationships" ref="K25" r:id="R5a855218d5b94c2a"/>
    <x:hyperlink xmlns:r="http://schemas.openxmlformats.org/officeDocument/2006/relationships" ref="K26" r:id="R16345da44de9492d"/>
    <x:hyperlink xmlns:r="http://schemas.openxmlformats.org/officeDocument/2006/relationships" ref="K27" r:id="Rcde94be920144bfb"/>
    <x:hyperlink xmlns:r="http://schemas.openxmlformats.org/officeDocument/2006/relationships" ref="K28" r:id="R539315d2cf2f4d49"/>
    <x:hyperlink xmlns:r="http://schemas.openxmlformats.org/officeDocument/2006/relationships" ref="K29" r:id="Ra642c01647f1470c"/>
    <x:hyperlink xmlns:r="http://schemas.openxmlformats.org/officeDocument/2006/relationships" ref="K30" r:id="Rd4389448a5bf450d"/>
    <x:hyperlink xmlns:r="http://schemas.openxmlformats.org/officeDocument/2006/relationships" ref="K31" r:id="R623098fd1cff4e99"/>
    <x:hyperlink xmlns:r="http://schemas.openxmlformats.org/officeDocument/2006/relationships" ref="K32" r:id="R7e3ca50b0cc64d40"/>
    <x:hyperlink xmlns:r="http://schemas.openxmlformats.org/officeDocument/2006/relationships" ref="K33" r:id="R0ce85b6cc5f84257"/>
    <x:hyperlink xmlns:r="http://schemas.openxmlformats.org/officeDocument/2006/relationships" ref="K34" r:id="R2a66da154b50400e"/>
    <x:hyperlink xmlns:r="http://schemas.openxmlformats.org/officeDocument/2006/relationships" ref="K35" r:id="R420a3b914b7c4090"/>
    <x:hyperlink xmlns:r="http://schemas.openxmlformats.org/officeDocument/2006/relationships" ref="K36" r:id="R79e9e0a81a054c69"/>
    <x:hyperlink xmlns:r="http://schemas.openxmlformats.org/officeDocument/2006/relationships" ref="K37" r:id="R0327d90ffd3c4673"/>
    <x:hyperlink xmlns:r="http://schemas.openxmlformats.org/officeDocument/2006/relationships" ref="K38" r:id="Rd0d895c6f9dc4ae5"/>
    <x:hyperlink xmlns:r="http://schemas.openxmlformats.org/officeDocument/2006/relationships" ref="K39" r:id="R7788f510bcbd4308"/>
    <x:hyperlink xmlns:r="http://schemas.openxmlformats.org/officeDocument/2006/relationships" ref="K40" r:id="R22cbbfb1a8f04ada"/>
    <x:hyperlink xmlns:r="http://schemas.openxmlformats.org/officeDocument/2006/relationships" ref="K41" r:id="R24bfe69136314580"/>
    <x:hyperlink xmlns:r="http://schemas.openxmlformats.org/officeDocument/2006/relationships" ref="K42" r:id="Rb4b91b2d8ce34a67"/>
    <x:hyperlink xmlns:r="http://schemas.openxmlformats.org/officeDocument/2006/relationships" ref="K43" r:id="Ra227599605c244da"/>
    <x:hyperlink xmlns:r="http://schemas.openxmlformats.org/officeDocument/2006/relationships" ref="K44" r:id="Rc0e9af25195241cb"/>
    <x:hyperlink xmlns:r="http://schemas.openxmlformats.org/officeDocument/2006/relationships" ref="K45" r:id="R539435faa2ef4d7b"/>
    <x:hyperlink xmlns:r="http://schemas.openxmlformats.org/officeDocument/2006/relationships" ref="K46" r:id="Rb9dacf91c5734c87"/>
    <x:hyperlink xmlns:r="http://schemas.openxmlformats.org/officeDocument/2006/relationships" ref="K47" r:id="Rf5bec8c878d84090"/>
    <x:hyperlink xmlns:r="http://schemas.openxmlformats.org/officeDocument/2006/relationships" ref="K48" r:id="Rcc3d296aceb54aa0"/>
    <x:hyperlink xmlns:r="http://schemas.openxmlformats.org/officeDocument/2006/relationships" ref="K49" r:id="R56725b5da46b4b27"/>
    <x:hyperlink xmlns:r="http://schemas.openxmlformats.org/officeDocument/2006/relationships" ref="K50" r:id="Re8752e39640d463a"/>
  </x:hyperlinks>
  <x:pageMargins left="0.7" right="0.7" top="0.75" bottom="0.75" header="0.3" footer="0.3"/>
  <x:legacyDrawing xmlns:r="http://schemas.openxmlformats.org/officeDocument/2006/relationships" r:id="R6e6572da3f844c0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61" hidden="0" customWidth="1"/>
    <x:col min="5" max="5" width="3" hidden="0" customWidth="1"/>
    <x:col min="6" max="6" width="37" hidden="0" customWidth="1"/>
    <x:col min="7" max="7" width="18" hidden="0" customWidth="1"/>
    <x:col min="8" max="8" width="17" hidden="0" customWidth="1"/>
    <x:col min="9" max="9" width="47" hidden="0" customWidth="1"/>
    <x:col min="10" max="10" width="61" hidden="0" customWidth="1"/>
  </x:cols>
  <x:sheetData>
    <x:row r="1" ht="38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40" customHeight="1">
      <x:c r="A2" s="56" t="str">
        <x:v>Osiris PDB REV1.1 • Engineering calculations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3" ht="38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5" customHeight="1">
      <x:c r="A4" s="44" t="str">
        <x:v>INPUTS AND FORMULAS TOGETHER  •  Each section pairs its numbers with the calculations they drive.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5" customHeight="1">
      <x:c r="A5" s="44" t="str">
        <x:v>Blue = editable input   |   Amber = assumption / historical target   |   Gray = linked shared input   |   Green = calculated result</x:v>
      </x:c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5" customHeight="1">
      <x:c r="A6" s="44" t="str">
        <x:v>45 A connector rating; 40 A ESC arithmetic at 5 A avionics. Revised board thermal/current capability remains unqualified.</x:v>
      </x:c>
      <x:c r="B6" s="44"/>
      <x:c r="C6" s="44"/>
      <x:c r="D6" s="44"/>
      <x:c r="E6" s="44"/>
      <x:c r="F6" s="44"/>
      <x:c r="G6" s="44"/>
      <x:c r="H6" s="44"/>
      <x:c r="I6" s="44"/>
      <x:c r="J6" s="44"/>
    </x:row>
    <x:row r="7" ht="38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4"/>
    </x:row>
    <x:row r="8" ht="30" customHeight="1">
      <x:c r="A8" s="58" t="str">
        <x:v>Supply &amp; XT60 current limits</x:v>
      </x:c>
      <x:c r="B8" s="58"/>
      <x:c r="C8" s="58"/>
      <x:c r="D8" s="58"/>
      <x:c r="E8" s="58"/>
      <x:c r="F8" s="58"/>
      <x:c r="G8" s="58"/>
      <x:c r="H8" s="58"/>
      <x:c r="I8" s="58"/>
      <x:c r="J8" s="58"/>
    </x:row>
    <x:row r="9" ht="28" customHeight="1">
      <x:c r="A9" s="60" t="str">
        <x:v>Input / part</x:v>
      </x:c>
      <x:c r="B9" s="60" t="str">
        <x:v>Value</x:v>
      </x:c>
      <x:c r="C9" s="60" t="str">
        <x:v>Unit</x:v>
      </x:c>
      <x:c r="D9" s="60" t="str">
        <x:v>Meaning / source</x:v>
      </x:c>
      <x:c r="E9" s="44"/>
      <x:c r="F9" s="60" t="str">
        <x:v>Calculation</x:v>
      </x:c>
      <x:c r="G9" s="60" t="str">
        <x:v>Result</x:v>
      </x:c>
      <x:c r="H9" s="60" t="str">
        <x:v>Unit</x:v>
      </x:c>
      <x:c r="I9" s="60" t="str">
        <x:v>Equation (input names)</x:v>
      </x:c>
      <x:c r="J9" s="60" t="str">
        <x:v>Conditions / limits</x:v>
      </x:c>
    </x:row>
    <x:row r="10" ht="38" customHeight="1">
      <x:c r="A10" s="44" t="str">
        <x:v>pack</x:v>
      </x:c>
      <x:c r="B10" s="64" t="n">
        <x:v>16.8</x:v>
      </x:c>
      <x:c r="C10" s="44" t="str">
        <x:v>V</x:v>
      </x:c>
      <x:c r="D10" s="61" t="str">
        <x:v>4S fully charged assumption; 4 × 4.2 V
Source: Schematic: 4S input</x:v>
      </x:c>
      <x:c r="E10" s="44"/>
      <x:c r="F10" s="44" t="str">
        <x:v>Connector-limited ESC ceiling</x:v>
      </x:c>
      <x:c r="G10" s="72" t="n">
        <x:f>B16-B11</x:f>
        <x:v>40</x:v>
      </x:c>
      <x:c r="H10" s="44" t="str">
        <x:v>A</x:v>
      </x:c>
      <x:c r="I10" s="61" t="str">
        <x:v>rated-av</x:v>
      </x:c>
      <x:c r="J10" s="61" t="str">
        <x:v>45 A common input minus 5 A avionics. Component ceiling, not PCB rating.</x:v>
      </x:c>
    </x:row>
    <x:row r="11" ht="38" customHeight="1">
      <x:c r="A11" s="44" t="str">
        <x:v>av</x:v>
      </x:c>
      <x:c r="B11" s="65" t="n">
        <x:v>5</x:v>
      </x:c>
      <x:c r="C11" s="44" t="str">
        <x:v>A</x:v>
      </x:c>
      <x:c r="D11" s="61" t="str">
        <x:v>Avionics planning allowance; not measured
Source: Existing PDB planning notes</x:v>
      </x:c>
      <x:c r="E11" s="44"/>
      <x:c r="F11" s="44" t="str">
        <x:v>Original planning input</x:v>
      </x:c>
      <x:c r="G11" s="72" t="n">
        <x:f>B12+B11</x:f>
        <x:v>55</x:v>
      </x:c>
      <x:c r="H11" s="44" t="str">
        <x:v>A</x:v>
      </x:c>
      <x:c r="I11" s="61" t="str">
        <x:v>esc+av</x:v>
      </x:c>
      <x:c r="J11" s="61" t="str">
        <x:v>50 A ESC + 5 A avionics exceeds 45 A connector rating.</x:v>
      </x:c>
    </x:row>
    <x:row r="12" ht="38" customHeight="1">
      <x:c r="A12" s="44" t="str">
        <x:v>esc</x:v>
      </x:c>
      <x:c r="B12" s="65" t="n">
        <x:v>50</x:v>
      </x:c>
      <x:c r="C12" s="44" t="str">
        <x:v>A</x:v>
      </x:c>
      <x:c r="D12" s="61" t="str">
        <x:v>Original planning ESC load; exceeds XT60 limit with avionics
Source: Existing schematic planning note</x:v>
      </x:c>
      <x:c r="E12" s="44"/>
      <x:c r="F12" s="44" t="str">
        <x:v>Previous continuous target at J1</x:v>
      </x:c>
      <x:c r="G12" s="72" t="n">
        <x:f>B13+B11</x:f>
        <x:v>65</x:v>
      </x:c>
      <x:c r="H12" s="44" t="str">
        <x:v>A</x:v>
      </x:c>
      <x:c r="I12" s="61" t="str">
        <x:v>continuous+av</x:v>
      </x:c>
      <x:c r="J12" s="61" t="str">
        <x:v>65 A exceeds XT60PW-F continuous rating.</x:v>
      </x:c>
    </x:row>
    <x:row r="13" ht="38" customHeight="1">
      <x:c r="A13" s="44" t="str">
        <x:v>continuous</x:v>
      </x:c>
      <x:c r="B13" s="65" t="n">
        <x:v>60</x:v>
      </x:c>
      <x:c r="C13" s="44" t="str">
        <x:v>A</x:v>
      </x:c>
      <x:c r="D13" s="61" t="str">
        <x:v>Previous ESC target; not supported by XT60PW-F
Source: Previous revision only</x:v>
      </x:c>
      <x:c r="E13" s="44"/>
      <x:c r="F13" s="44" t="str">
        <x:v>Previous burst target at J1</x:v>
      </x:c>
      <x:c r="G13" s="72" t="n">
        <x:f>B14+B11</x:f>
        <x:v>105</x:v>
      </x:c>
      <x:c r="H13" s="44" t="str">
        <x:v>A</x:v>
      </x:c>
      <x:c r="I13" s="61" t="str">
        <x:v>burst+av</x:v>
      </x:c>
      <x:c r="J13" s="61" t="str">
        <x:v>105 A exceeds even 60 A momentary value.</x:v>
      </x:c>
    </x:row>
    <x:row r="14" ht="38" customHeight="1">
      <x:c r="A14" s="44" t="str">
        <x:v>burst</x:v>
      </x:c>
      <x:c r="B14" s="65" t="n">
        <x:v>100</x:v>
      </x:c>
      <x:c r="C14" s="44" t="str">
        <x:v>A</x:v>
      </x:c>
      <x:c r="D14" s="61" t="str">
        <x:v>Previous 30 s ESC target; not supported by XT60PW-F
Source: Previous revision only</x:v>
      </x:c>
      <x:c r="E14" s="44"/>
      <x:c r="F14" s="44" t="str">
        <x:v>One XT60 at 45 A, 2 contacts</x:v>
      </x:c>
      <x:c r="G14" s="72" t="n">
        <x:f>2*B16^2*B18</x:f>
        <x:v>2.025</x:v>
      </x:c>
      <x:c r="H14" s="44" t="str">
        <x:v>W</x:v>
      </x:c>
      <x:c r="I14" s="61" t="str">
        <x:v>2*rated^2*contact</x:v>
      </x:c>
      <x:c r="J14" s="61" t="str">
        <x:v>Per-pole interpretation of 0.5 mOhm must be confirmed.</x:v>
      </x:c>
    </x:row>
    <x:row r="15" ht="38" customHeight="1">
      <x:c r="A15" s="44" t="str">
        <x:v>duration</x:v>
      </x:c>
      <x:c r="B15" s="65" t="n">
        <x:v>30</x:v>
      </x:c>
      <x:c r="C15" s="44" t="str">
        <x:v>s</x:v>
      </x:c>
      <x:c r="D15" s="61" t="str">
        <x:v>Previous burst duration, not AMASS momentary duration
Source: Previous revision only</x:v>
      </x:c>
      <x:c r="E15" s="44"/>
      <x:c r="F15" s="44" t="str">
        <x:v>XT60 at 45 A, loop drop</x:v>
      </x:c>
      <x:c r="G15" s="72" t="n">
        <x:f>2*B16*B18*1000</x:f>
        <x:v>45</x:v>
      </x:c>
      <x:c r="H15" s="44" t="str">
        <x:v>mV</x:v>
      </x:c>
      <x:c r="I15" s="61" t="str">
        <x:v>2*rated*contact*1000</x:v>
      </x:c>
      <x:c r="J15" s="61" t="str">
        <x:v>Contacts only; excludes harness/solder/PCB.</x:v>
      </x:c>
    </x:row>
    <x:row r="16" ht="38" customHeight="1">
      <x:c r="A16" s="44" t="str">
        <x:v>rated</x:v>
      </x:c>
      <x:c r="B16" s="68" t="n">
        <x:v>45</x:v>
      </x:c>
      <x:c r="C16" s="44" t="str">
        <x:v>A</x:v>
      </x:c>
      <x:c r="D16" s="61" t="str">
        <x:v>XT60PW-F manufacturer rated current
Source: https://www.tme.eu/Document/1191bc2fa3aee3c446e5a895fd8f7983/XT60PW-F.pdf</x:v>
      </x:c>
      <x:c r="E16" s="44"/>
      <x:c r="F16" s="44"/>
      <x:c r="G16" s="44"/>
      <x:c r="H16" s="44"/>
      <x:c r="I16" s="44"/>
      <x:c r="J16" s="44"/>
    </x:row>
    <x:row r="17" ht="38" customHeight="1">
      <x:c r="A17" s="44" t="str">
        <x:v>momentary</x:v>
      </x:c>
      <x:c r="B17" s="68" t="n">
        <x:v>60</x:v>
      </x:c>
      <x:c r="C17" s="44" t="str">
        <x:v>A</x:v>
      </x:c>
      <x:c r="D17" s="61" t="str">
        <x:v>XT60PW-F momentary current; duration not specified
Source: https://www.tme.eu/Document/1191bc2fa3aee3c446e5a895fd8f7983/XT60PW-F.pdf</x:v>
      </x:c>
      <x:c r="E17" s="44"/>
      <x:c r="F17" s="44"/>
      <x:c r="G17" s="44"/>
      <x:c r="H17" s="44"/>
      <x:c r="I17" s="44"/>
      <x:c r="J17" s="44"/>
    </x:row>
    <x:row r="18" ht="38" customHeight="1">
      <x:c r="A18" s="44" t="str">
        <x:v>contact</x:v>
      </x:c>
      <x:c r="B18" s="69" t="n">
        <x:v>0.0005</x:v>
      </x:c>
      <x:c r="C18" s="44" t="str">
        <x:v>ohm</x:v>
      </x:c>
      <x:c r="D18" s="61" t="str">
        <x:v>Contact resistance; per-pole assumption for heat screening
Source: https://www.tme.eu/Document/1191bc2fa3aee3c446e5a895fd8f7983/XT60PW-F.pdf</x:v>
      </x:c>
      <x:c r="E18" s="44"/>
      <x:c r="F18" s="44"/>
      <x:c r="G18" s="44"/>
      <x:c r="H18" s="44"/>
      <x:c r="I18" s="44"/>
      <x:c r="J18" s="44"/>
    </x:row>
    <x:row r="19" ht="38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</x:row>
    <x:row r="20" ht="38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 ht="30" customHeight="1">
      <x:c r="A21" s="74" t="str">
        <x:v>UV / OV voltage thresholds</x:v>
      </x:c>
      <x:c r="B21" s="74"/>
      <x:c r="C21" s="74"/>
      <x:c r="D21" s="74"/>
      <x:c r="E21" s="74"/>
      <x:c r="F21" s="74"/>
      <x:c r="G21" s="74"/>
      <x:c r="H21" s="74"/>
      <x:c r="I21" s="74"/>
      <x:c r="J21" s="74"/>
    </x:row>
    <x:row r="22" ht="28" customHeight="1">
      <x:c r="A22" s="60" t="str">
        <x:v>Input / part</x:v>
      </x:c>
      <x:c r="B22" s="60" t="str">
        <x:v>Value</x:v>
      </x:c>
      <x:c r="C22" s="60" t="str">
        <x:v>Unit</x:v>
      </x:c>
      <x:c r="D22" s="60" t="str">
        <x:v>Meaning / source</x:v>
      </x:c>
      <x:c r="E22" s="44"/>
      <x:c r="F22" s="60" t="str">
        <x:v>Calculation</x:v>
      </x:c>
      <x:c r="G22" s="60" t="str">
        <x:v>Result</x:v>
      </x:c>
      <x:c r="H22" s="60" t="str">
        <x:v>Unit</x:v>
      </x:c>
      <x:c r="I22" s="60" t="str">
        <x:v>Equation (input names)</x:v>
      </x:c>
      <x:c r="J22" s="60" t="str">
        <x:v>Conditions / limits</x:v>
      </x:c>
    </x:row>
    <x:row r="23" ht="38" customHeight="1">
      <x:c r="A23" s="44" t="str">
        <x:v>R1</x:v>
      </x:c>
      <x:c r="B23" s="68" t="n">
        <x:v>237000</x:v>
      </x:c>
      <x:c r="C23" s="44" t="str">
        <x:v>ohm</x:v>
      </x:c>
      <x:c r="D23" s="61" t="str">
        <x:v>UV upper divider, 1%
Source: CAD R1 RC0805FR-07237KL</x:v>
      </x:c>
      <x:c r="E23" s="44"/>
      <x:c r="F23" s="44" t="str">
        <x:v>UV falling, gate held at 0 V</x:v>
      </x:c>
      <x:c r="G23" s="72" t="n">
        <x:f>B28*(1+B23/B24+B23/B25)</x:f>
        <x:v>10.547759244992296</x:v>
      </x:c>
      <x:c r="H23" s="44" t="str">
        <x:v>V</x:v>
      </x:c>
      <x:c r="I23" s="61" t="str">
        <x:v>uv*(1+R1/R2+R1/R14)</x:v>
      </x:c>
      <x:c r="J23" s="61" t="str">
        <x:v>Nominal gate-off divider condition.</x:v>
      </x:c>
    </x:row>
    <x:row r="24" ht="38" customHeight="1">
      <x:c r="A24" s="44" t="str">
        <x:v>R2</x:v>
      </x:c>
      <x:c r="B24" s="68" t="n">
        <x:v>11800</x:v>
      </x:c>
      <x:c r="C24" s="44" t="str">
        <x:v>ohm</x:v>
      </x:c>
      <x:c r="D24" s="61" t="str">
        <x:v>UV lower divider, 1%
Source: CAD R2 RC0805FR-0711K8L</x:v>
      </x:c>
      <x:c r="E24" s="44"/>
      <x:c r="F24" s="44" t="str">
        <x:v>UV recovery, gate held at 0 V</x:v>
      </x:c>
      <x:c r="G24" s="72" t="n">
        <x:f>(B28+B29)*(1+B23/B24+B23/B25)</x:f>
        <x:v>11.075147207241912</x:v>
      </x:c>
      <x:c r="H24" s="44" t="str">
        <x:v>V</x:v>
      </x:c>
      <x:c r="I24" s="61" t="str">
        <x:v>(uv+hyst)*(1+R1/R2+R1/R14)</x:v>
      </x:c>
      <x:c r="J24" s="61" t="str">
        <x:v>Includes typical 25 mV internal hysteresis.</x:v>
      </x:c>
    </x:row>
    <x:row r="25" ht="38" customHeight="1">
      <x:c r="A25" s="44" t="str">
        <x:v>R14</x:v>
      </x:c>
      <x:c r="B25" s="68" t="n">
        <x:v>22000000</x:v>
      </x:c>
      <x:c r="C25" s="44" t="str">
        <x:v>ohm</x:v>
      </x:c>
      <x:c r="D25" s="61" t="str">
        <x:v>Gate-to-UV feedback resistor, 5%
Source: CAD R14 RC0805JR-0722ML</x:v>
      </x:c>
      <x:c r="E25" s="44"/>
      <x:c r="F25" s="44" t="str">
        <x:v>UV falling, gate = VIN + offset</x:v>
      </x:c>
      <x:c r="G25" s="72" t="n">
        <x:f>(B28*(1/B23+1/B24+1/B25)-B32/B25)/(1/B23+1/B25)</x:f>
        <x:v>10.318105112642465</x:v>
      </x:c>
      <x:c r="H25" s="44" t="str">
        <x:v>V</x:v>
      </x:c>
      <x:c r="I25" s="61" t="str">
        <x:v>(uv*(1/R1+1/R2+1/R14)-gate/R14)/(1/R1+1/R14)</x:v>
      </x:c>
      <x:c r="J25" s="61" t="str">
        <x:v>Illustrative enabled gate. Actual gate/UV behavior must be measured.</x:v>
      </x:c>
    </x:row>
    <x:row r="26" ht="38" customHeight="1">
      <x:c r="A26" s="44" t="str">
        <x:v>R3</x:v>
      </x:c>
      <x:c r="B26" s="68" t="n">
        <x:v>2000000</x:v>
      </x:c>
      <x:c r="C26" s="44" t="str">
        <x:v>ohm</x:v>
      </x:c>
      <x:c r="D26" s="61" t="str">
        <x:v>OV upper divider, 1%
Source: CAD R3 RC0805FR-072ML</x:v>
      </x:c>
      <x:c r="E26" s="44"/>
      <x:c r="F26" s="44" t="str">
        <x:v>OV trip nominal</x:v>
      </x:c>
      <x:c r="G26" s="72" t="n">
        <x:f>B28*(1+B26/B27)</x:f>
        <x:v>18.714936247723134</x:v>
      </x:c>
      <x:c r="H26" s="44" t="str">
        <x:v>V</x:v>
      </x:c>
      <x:c r="I26" s="61" t="str">
        <x:v>uv*(1+R3/R13)</x:v>
      </x:c>
      <x:c r="J26" s="61" t="str">
        <x:v>Avionics controller threshold; ESC branch bypasses U1.</x:v>
      </x:c>
    </x:row>
    <x:row r="27" ht="38" customHeight="1">
      <x:c r="A27" s="44" t="str">
        <x:v>R13</x:v>
      </x:c>
      <x:c r="B27" s="68" t="n">
        <x:v>54900</x:v>
      </x:c>
      <x:c r="C27" s="44" t="str">
        <x:v>ohm</x:v>
      </x:c>
      <x:c r="D27" s="61" t="str">
        <x:v>OV lower divider, 1%
Source: CAD R13 RC0805FR-0754K9L</x:v>
      </x:c>
      <x:c r="E27" s="44"/>
      <x:c r="F27" s="44" t="str">
        <x:v>OV recovery nominal</x:v>
      </x:c>
      <x:c r="G27" s="72" t="n">
        <x:f>(B28-B29)*(1+B26/B27)</x:f>
        <x:v>17.779189435336978</x:v>
      </x:c>
      <x:c r="H27" s="44" t="str">
        <x:v>V</x:v>
      </x:c>
      <x:c r="I27" s="61" t="str">
        <x:v>(uv-hyst)*(1+R3/R13)</x:v>
      </x:c>
      <x:c r="J27" s="61" t="str">
        <x:v>Typical hysteresis only.</x:v>
      </x:c>
    </x:row>
    <x:row r="28" ht="38" customHeight="1">
      <x:c r="A28" s="44" t="str">
        <x:v>uv</x:v>
      </x:c>
      <x:c r="B28" s="75" t="n">
        <x:v>0.5</x:v>
      </x:c>
      <x:c r="C28" s="44" t="str">
        <x:v>V</x:v>
      </x:c>
      <x:c r="D28" s="61" t="str">
        <x:v>UV falling / OV rising nominal reference
Source: https://www.analog.com/media/en/technical-documentation/data-sheets/ltc4368.pdf</x:v>
      </x:c>
      <x:c r="E28" s="44"/>
      <x:c r="F28" s="44" t="str">
        <x:v>OV trip lower tolerance bound</x:v>
      </x:c>
      <x:c r="G28" s="72" t="n">
        <x:f>B28*(1-B30)*(1+B26*(1-B31)/(B27*(1+B31)))</x:f>
        <x:v>18.07893077422496</x:v>
      </x:c>
      <x:c r="H28" s="44" t="str">
        <x:v>V</x:v>
      </x:c>
      <x:c r="I28" s="61" t="str">
        <x:v>uv*(1-thresholdTol)*(1+R3*(1-resTol)/(R13*(1+resTol)))</x:v>
      </x:c>
      <x:c r="J28" s="61" t="str">
        <x:v>Reference and 1% resistor corners; excludes leakage/temperature.</x:v>
      </x:c>
    </x:row>
    <x:row r="29" ht="38" customHeight="1">
      <x:c r="A29" s="44" t="str">
        <x:v>hyst</x:v>
      </x:c>
      <x:c r="B29" s="75" t="n">
        <x:v>0.025</x:v>
      </x:c>
      <x:c r="C29" s="44" t="str">
        <x:v>V</x:v>
      </x:c>
      <x:c r="D29" s="61" t="str">
        <x:v>UV/OV typical internal hysteresis
Source: https://www.analog.com/media/en/technical-documentation/data-sheets/ltc4368.pdf</x:v>
      </x:c>
      <x:c r="E29" s="44"/>
      <x:c r="F29" s="44" t="str">
        <x:v>OV trip upper tolerance bound</x:v>
      </x:c>
      <x:c r="G29" s="72" t="n">
        <x:f>B28*(1+B30)*(1+B26*(1+B31)/(B27*(1-B31)))</x:f>
        <x:v>19.369158479144815</x:v>
      </x:c>
      <x:c r="H29" s="44" t="str">
        <x:v>V</x:v>
      </x:c>
      <x:c r="I29" s="61" t="str">
        <x:v>uv*(1+thresholdTol)*(1+R3*(1+resTol)/(R13*(1-resTol)))</x:v>
      </x:c>
      <x:c r="J29" s="61" t="str">
        <x:v>Reference and 1% resistor corners; excludes leakage/temperature.</x:v>
      </x:c>
    </x:row>
    <x:row r="30" ht="38" customHeight="1">
      <x:c r="A30" s="44" t="str">
        <x:v>thresholdTol</x:v>
      </x:c>
      <x:c r="B30" s="76" t="n">
        <x:v>0.015</x:v>
      </x:c>
      <x:c r="C30" s="44" t="str">
        <x:v>fraction</x:v>
      </x:c>
      <x:c r="D30" s="61" t="str">
        <x:v>UV/OV reference tolerance, ±1.5%
Source: https://www.analog.com/media/en/technical-documentation/data-sheets/ltc4368.pdf</x:v>
      </x:c>
      <x:c r="E30" s="44"/>
      <x:c r="F30" s="44"/>
      <x:c r="G30" s="44"/>
      <x:c r="H30" s="44"/>
      <x:c r="I30" s="44"/>
      <x:c r="J30" s="44"/>
    </x:row>
    <x:row r="31" ht="38" customHeight="1">
      <x:c r="A31" s="44" t="str">
        <x:v>resTol</x:v>
      </x:c>
      <x:c r="B31" s="76" t="n">
        <x:v>0.01</x:v>
      </x:c>
      <x:c r="C31" s="44" t="str">
        <x:v>fraction</x:v>
      </x:c>
      <x:c r="D31" s="61" t="str">
        <x:v>Divider/shunt nominal resistance tolerance
Source: BOM selected 1% parts</x:v>
      </x:c>
      <x:c r="E31" s="44"/>
      <x:c r="F31" s="44"/>
      <x:c r="G31" s="44"/>
      <x:c r="H31" s="44"/>
      <x:c r="I31" s="44"/>
      <x:c r="J31" s="44"/>
    </x:row>
    <x:row r="32" ht="38" customHeight="1">
      <x:c r="A32" s="44" t="str">
        <x:v>gate</x:v>
      </x:c>
      <x:c r="B32" s="65" t="n">
        <x:v>11</x:v>
      </x:c>
      <x:c r="C32" s="44" t="str">
        <x:v>V</x:v>
      </x:c>
      <x:c r="D32" s="61" t="str">
        <x:v>Illustrative enabled GATE−VOUT, typical at VIN ≥12 V
Source: https://www.analog.com/media/en/technical-documentation/data-sheets/ltc4368.pdf</x:v>
      </x:c>
      <x:c r="E32" s="44"/>
      <x:c r="F32" s="44"/>
      <x:c r="G32" s="44"/>
      <x:c r="H32" s="44"/>
      <x:c r="I32" s="44"/>
      <x:c r="J32" s="44"/>
    </x:row>
    <x:row r="33" ht="38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38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30" customHeight="1">
      <x:c r="A35" s="78" t="str">
        <x:v>Avionics shunt &amp; circuit breaker</x:v>
      </x:c>
      <x:c r="B35" s="78"/>
      <x:c r="C35" s="78"/>
      <x:c r="D35" s="78"/>
      <x:c r="E35" s="78"/>
      <x:c r="F35" s="78"/>
      <x:c r="G35" s="78"/>
      <x:c r="H35" s="78"/>
      <x:c r="I35" s="78"/>
      <x:c r="J35" s="78"/>
    </x:row>
    <x:row r="36" ht="28" customHeight="1">
      <x:c r="A36" s="60" t="str">
        <x:v>Input / part</x:v>
      </x:c>
      <x:c r="B36" s="60" t="str">
        <x:v>Value</x:v>
      </x:c>
      <x:c r="C36" s="60" t="str">
        <x:v>Unit</x:v>
      </x:c>
      <x:c r="D36" s="60" t="str">
        <x:v>Meaning / source</x:v>
      </x:c>
      <x:c r="E36" s="44"/>
      <x:c r="F36" s="60" t="str">
        <x:v>Calculation</x:v>
      </x:c>
      <x:c r="G36" s="60" t="str">
        <x:v>Result</x:v>
      </x:c>
      <x:c r="H36" s="60" t="str">
        <x:v>Unit</x:v>
      </x:c>
      <x:c r="I36" s="60" t="str">
        <x:v>Equation (input names)</x:v>
      </x:c>
      <x:c r="J36" s="60" t="str">
        <x:v>Conditions / limits</x:v>
      </x:c>
    </x:row>
    <x:row r="37" ht="38" customHeight="1">
      <x:c r="A37" s="44" t="str">
        <x:v>shunt</x:v>
      </x:c>
      <x:c r="B37" s="75" t="n">
        <x:v>0.005</x:v>
      </x:c>
      <x:c r="C37" s="44" t="str">
        <x:v>ohm</x:v>
      </x:c>
      <x:c r="D37" s="61" t="str">
        <x:v>Avionics only; R5 5 mOhm, 2 W, 1%
Source: CAD R5; Ohmite FC4L datasheet</x:v>
      </x:c>
      <x:c r="E37" s="44"/>
      <x:c r="F37" s="44" t="str">
        <x:v>Avionics breaker nominal</x:v>
      </x:c>
      <x:c r="G37" s="72" t="n">
        <x:f>B38/B37</x:f>
        <x:v>10</x:v>
      </x:c>
      <x:c r="H37" s="44" t="str">
        <x:v>A</x:v>
      </x:c>
      <x:c r="I37" s="61" t="str">
        <x:v>oc/shunt</x:v>
      </x:c>
      <x:c r="J37" s="61" t="str">
        <x:v>R5 senses J4 avionics only.</x:v>
      </x:c>
    </x:row>
    <x:row r="38" ht="38" customHeight="1">
      <x:c r="A38" s="44" t="str">
        <x:v>oc</x:v>
      </x:c>
      <x:c r="B38" s="75" t="n">
        <x:v>0.05</x:v>
      </x:c>
      <x:c r="C38" s="44" t="str">
        <x:v>V</x:v>
      </x:c>
      <x:c r="D38" s="61" t="str">
        <x:v>Forward breaker typical threshold
Source: https://www.analog.com/media/en/technical-documentation/data-sheets/ltc4368.pdf</x:v>
      </x:c>
      <x:c r="E38" s="44"/>
      <x:c r="F38" s="44" t="str">
        <x:v>Avionics breaker minimum</x:v>
      </x:c>
      <x:c r="G38" s="72" t="n">
        <x:f>B39/(B37*(1+B31))</x:f>
        <x:v>7.920792079207922</x:v>
      </x:c>
      <x:c r="H38" s="44" t="str">
        <x:v>A</x:v>
      </x:c>
      <x:c r="I38" s="61" t="str">
        <x:v>ocMin/(shunt*(1+resTol))</x:v>
      </x:c>
      <x:c r="J38" s="61" t="str">
        <x:v>Specified threshold plus 1% shunt corner.</x:v>
      </x:c>
    </x:row>
    <x:row r="39" ht="38" customHeight="1">
      <x:c r="A39" s="44" t="str">
        <x:v>ocMin</x:v>
      </x:c>
      <x:c r="B39" s="75" t="n">
        <x:v>0.04</x:v>
      </x:c>
      <x:c r="C39" s="44" t="str">
        <x:v>V</x:v>
      </x:c>
      <x:c r="D39" s="61" t="str">
        <x:v>Forward threshold minimum at specified datasheet condition
Source: https://www.analog.com/media/en/technical-documentation/data-sheets/ltc4368.pdf</x:v>
      </x:c>
      <x:c r="E39" s="44"/>
      <x:c r="F39" s="44" t="str">
        <x:v>Avionics breaker maximum</x:v>
      </x:c>
      <x:c r="G39" s="72" t="n">
        <x:f>B40/(B37*(1-B31))</x:f>
        <x:v>12.12121212121212</x:v>
      </x:c>
      <x:c r="H39" s="44" t="str">
        <x:v>A</x:v>
      </x:c>
      <x:c r="I39" s="61" t="str">
        <x:v>ocMax/(shunt*(1-resTol))</x:v>
      </x:c>
      <x:c r="J39" s="61" t="str">
        <x:v>Not a precise 10 A limiter. F1 is a separate 7.5 A fuse.</x:v>
      </x:c>
    </x:row>
    <x:row r="40" ht="38" customHeight="1">
      <x:c r="A40" s="44" t="str">
        <x:v>ocMax</x:v>
      </x:c>
      <x:c r="B40" s="75" t="n">
        <x:v>0.06</x:v>
      </x:c>
      <x:c r="C40" s="44" t="str">
        <x:v>V</x:v>
      </x:c>
      <x:c r="D40" s="61" t="str">
        <x:v>Forward threshold maximum at specified datasheet condition
Source: https://www.analog.com/media/en/technical-documentation/data-sheets/ltc4368.pdf</x:v>
      </x:c>
      <x:c r="E40" s="44"/>
      <x:c r="F40" s="44" t="str">
        <x:v>Reverse breaker minimum magnitude</x:v>
      </x:c>
      <x:c r="G40" s="72" t="n">
        <x:f>B41/(B37*(1+B31))</x:f>
        <x:v>8.316831683168317</x:v>
      </x:c>
      <x:c r="H40" s="44" t="str">
        <x:v>A</x:v>
      </x:c>
      <x:c r="I40" s="61" t="str">
        <x:v>reverseMin/(shunt*(1+resTol))</x:v>
      </x:c>
      <x:c r="J40" s="61" t="str">
        <x:v>LTC4368-1; does not establish complete reverse protection.</x:v>
      </x:c>
    </x:row>
    <x:row r="41" ht="38" customHeight="1">
      <x:c r="A41" s="44" t="str">
        <x:v>reverseMin</x:v>
      </x:c>
      <x:c r="B41" s="75" t="n">
        <x:v>0.042</x:v>
      </x:c>
      <x:c r="C41" s="44" t="str">
        <x:v>V</x:v>
      </x:c>
      <x:c r="D41" s="61" t="str">
        <x:v>-1 reverse threshold minimum magnitude
Source: https://www.analog.com/media/en/technical-documentation/data-sheets/ltc4368.pdf</x:v>
      </x:c>
      <x:c r="E41" s="44"/>
      <x:c r="F41" s="44" t="str">
        <x:v>Reverse breaker maximum magnitude</x:v>
      </x:c>
      <x:c r="G41" s="72" t="n">
        <x:f>B42/(B37*(1-B31))</x:f>
        <x:v>11.717171717171716</x:v>
      </x:c>
      <x:c r="H41" s="44" t="str">
        <x:v>A</x:v>
      </x:c>
      <x:c r="I41" s="61" t="str">
        <x:v>reverseMax/(shunt*(1-resTol))</x:v>
      </x:c>
      <x:c r="J41" s="61" t="str">
        <x:v>Threshold/shunt corners only.</x:v>
      </x:c>
    </x:row>
    <x:row r="42" ht="38" customHeight="1">
      <x:c r="A42" s="44" t="str">
        <x:v>reverseMax</x:v>
      </x:c>
      <x:c r="B42" s="75" t="n">
        <x:v>0.058</x:v>
      </x:c>
      <x:c r="C42" s="44" t="str">
        <x:v>V</x:v>
      </x:c>
      <x:c r="D42" s="61" t="str">
        <x:v>-1 reverse threshold maximum magnitude
Source: https://www.analog.com/media/en/technical-documentation/data-sheets/ltc4368.pdf</x:v>
      </x:c>
      <x:c r="E42" s="44"/>
      <x:c r="F42" s="44" t="str">
        <x:v>R5 drop at avionics load</x:v>
      </x:c>
      <x:c r="G42" s="72" t="n">
        <x:f>B11*B37*1000</x:f>
        <x:v>25</x:v>
      </x:c>
      <x:c r="H42" s="44" t="str">
        <x:v>mV</x:v>
      </x:c>
      <x:c r="I42" s="61" t="str">
        <x:v>av*shunt*1000</x:v>
      </x:c>
      <x:c r="J42" s="61" t="str">
        <x:v>I × R.</x:v>
      </x:c>
    </x:row>
    <x:row r="43" ht="38" customHeight="1">
      <x:c r="A43" s="44" t="str">
        <x:v>av</x:v>
      </x:c>
      <x:c r="B43" s="81" t="n">
        <x:f>B11</x:f>
        <x:v>5</x:v>
      </x:c>
      <x:c r="C43" s="44" t="str">
        <x:v>A</x:v>
      </x:c>
      <x:c r="D43" s="61" t="str">
        <x:v>Avionics planning allowance; not measured
Source: Existing PDB planning notes</x:v>
      </x:c>
      <x:c r="E43" s="44"/>
      <x:c r="F43" s="44" t="str">
        <x:v>R5 heat at avionics load</x:v>
      </x:c>
      <x:c r="G43" s="72" t="n">
        <x:f>B11^2*B37</x:f>
        <x:v>0.125</x:v>
      </x:c>
      <x:c r="H43" s="44" t="str">
        <x:v>W</x:v>
      </x:c>
      <x:c r="I43" s="61" t="str">
        <x:v>av^2*shunt</x:v>
      </x:c>
      <x:c r="J43" s="61" t="str">
        <x:v>I² × R.</x:v>
      </x:c>
    </x:row>
    <x:row r="44" ht="38" customHeight="1">
      <x:c r="A44" s="44" t="str">
        <x:v>resTol</x:v>
      </x:c>
      <x:c r="B44" s="82" t="n">
        <x:f>B31</x:f>
        <x:v>0.01</x:v>
      </x:c>
      <x:c r="C44" s="44" t="str">
        <x:v>fraction</x:v>
      </x:c>
      <x:c r="D44" s="61" t="str">
        <x:v>Divider/shunt nominal resistance tolerance
Source: BOM selected 1% parts</x:v>
      </x:c>
      <x:c r="E44" s="44"/>
      <x:c r="F44" s="44" t="str">
        <x:v>R5 heat at nominal 10 A trip</x:v>
      </x:c>
      <x:c r="G44" s="72" t="n">
        <x:f>(B38/B37)^2*B37</x:f>
        <x:v>0.5</x:v>
      </x:c>
      <x:c r="H44" s="44" t="str">
        <x:v>W</x:v>
      </x:c>
      <x:c r="I44" s="61" t="str">
        <x:v>(oc/shunt)^2*shunt</x:v>
      </x:c>
      <x:c r="J44" s="61" t="str">
        <x:v>Cold nominal resistance.</x:v>
      </x:c>
    </x:row>
    <x:row r="45" ht="38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38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30" customHeight="1">
      <x:c r="A47" s="58" t="str">
        <x:v>Retry timer</x:v>
      </x:c>
      <x:c r="B47" s="58"/>
      <x:c r="C47" s="58"/>
      <x:c r="D47" s="58"/>
      <x:c r="E47" s="58"/>
      <x:c r="F47" s="58"/>
      <x:c r="G47" s="58"/>
      <x:c r="H47" s="58"/>
      <x:c r="I47" s="58"/>
      <x:c r="J47" s="58"/>
    </x:row>
    <x:row r="48" ht="28" customHeight="1">
      <x:c r="A48" s="60" t="str">
        <x:v>Input / part</x:v>
      </x:c>
      <x:c r="B48" s="60" t="str">
        <x:v>Value</x:v>
      </x:c>
      <x:c r="C48" s="60" t="str">
        <x:v>Unit</x:v>
      </x:c>
      <x:c r="D48" s="60" t="str">
        <x:v>Meaning / source</x:v>
      </x:c>
      <x:c r="E48" s="44"/>
      <x:c r="F48" s="60" t="str">
        <x:v>Calculation</x:v>
      </x:c>
      <x:c r="G48" s="60" t="str">
        <x:v>Result</x:v>
      </x:c>
      <x:c r="H48" s="60" t="str">
        <x:v>Unit</x:v>
      </x:c>
      <x:c r="I48" s="60" t="str">
        <x:v>Equation (input names)</x:v>
      </x:c>
      <x:c r="J48" s="60" t="str">
        <x:v>Conditions / limits</x:v>
      </x:c>
    </x:row>
    <x:row r="49" ht="38" customHeight="1">
      <x:c r="A49" s="44" t="str">
        <x:v>retry</x:v>
      </x:c>
      <x:c r="B49" s="68" t="n">
        <x:v>100</x:v>
      </x:c>
      <x:c r="C49" s="44" t="str">
        <x:v>nF</x:v>
      </x:c>
      <x:c r="D49" s="61" t="str">
        <x:v>C3 on RETRY; C1 is the separate 22 nF gate capacitor
Source: CAD netlist U1 pin 4 / C3</x:v>
      </x:c>
      <x:c r="E49" s="44"/>
      <x:c r="F49" s="44" t="str">
        <x:v>Retry delay typical</x:v>
      </x:c>
      <x:c r="G49" s="72" t="n">
        <x:f>B49*B50</x:f>
        <x:v>550</x:v>
      </x:c>
      <x:c r="H49" s="44" t="str">
        <x:v>ms</x:v>
      </x:c>
      <x:c r="I49" s="61" t="str">
        <x:v>retry*retryFactor</x:v>
      </x:c>
      <x:c r="J49" s="61" t="str">
        <x:v>C3 × 5.5 ms/nF; not full system recovery timing.</x:v>
      </x:c>
    </x:row>
    <x:row r="50" ht="38" customHeight="1">
      <x:c r="A50" s="44" t="str">
        <x:v>retryFactor</x:v>
      </x:c>
      <x:c r="B50" s="83" t="n">
        <x:v>5.5</x:v>
      </x:c>
      <x:c r="C50" s="44" t="str">
        <x:v>ms/nF</x:v>
      </x:c>
      <x:c r="D50" s="61" t="str">
        <x:v>Typical cooldown multiplier
Source: https://www.analog.com/media/en/technical-documentation/data-sheets/ltc4368.pdf</x:v>
      </x:c>
      <x:c r="E50" s="44"/>
      <x:c r="F50" s="44"/>
      <x:c r="G50" s="44"/>
      <x:c r="H50" s="44"/>
      <x:c r="I50" s="44"/>
      <x:c r="J50" s="44"/>
    </x:row>
    <x:row r="51" ht="38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38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30" customHeight="1">
      <x:c r="A53" s="74" t="str">
        <x:v>Local 3V3 regulator</x:v>
      </x:c>
      <x:c r="B53" s="74"/>
      <x:c r="C53" s="74"/>
      <x:c r="D53" s="74"/>
      <x:c r="E53" s="74"/>
      <x:c r="F53" s="74"/>
      <x:c r="G53" s="74"/>
      <x:c r="H53" s="74"/>
      <x:c r="I53" s="74"/>
      <x:c r="J53" s="74"/>
    </x:row>
    <x:row r="54" ht="28" customHeight="1">
      <x:c r="A54" s="60" t="str">
        <x:v>Input / part</x:v>
      </x:c>
      <x:c r="B54" s="60" t="str">
        <x:v>Value</x:v>
      </x:c>
      <x:c r="C54" s="60" t="str">
        <x:v>Unit</x:v>
      </x:c>
      <x:c r="D54" s="60" t="str">
        <x:v>Meaning / source</x:v>
      </x:c>
      <x:c r="E54" s="44"/>
      <x:c r="F54" s="60" t="str">
        <x:v>Calculation</x:v>
      </x:c>
      <x:c r="G54" s="60" t="str">
        <x:v>Result</x:v>
      </x:c>
      <x:c r="H54" s="60" t="str">
        <x:v>Unit</x:v>
      </x:c>
      <x:c r="I54" s="60" t="str">
        <x:v>Equation (input names)</x:v>
      </x:c>
      <x:c r="J54" s="60" t="str">
        <x:v>Conditions / limits</x:v>
      </x:c>
    </x:row>
    <x:row r="55" ht="38" customHeight="1">
      <x:c r="A55" s="44" t="str">
        <x:v>R11</x:v>
      </x:c>
      <x:c r="B55" s="68" t="n">
        <x:v>1580</x:v>
      </x:c>
      <x:c r="C55" s="44" t="str">
        <x:v>ohm</x:v>
      </x:c>
      <x:c r="D55" s="61" t="str">
        <x:v>LT3010 output-to-ADJ resistor, 1%
Source: CAD R11</x:v>
      </x:c>
      <x:c r="E55" s="44"/>
      <x:c r="F55" s="44" t="str">
        <x:v>Local LDO output nominal</x:v>
      </x:c>
      <x:c r="G55" s="72" t="n">
        <x:f>B57*(1+B55/B56)+B58*B55</x:f>
        <x:v>3.289579</x:v>
      </x:c>
      <x:c r="H55" s="44" t="str">
        <x:v>V</x:v>
      </x:c>
      <x:c r="I55" s="61" t="str">
        <x:v>ldoRef*(1+R11/R12)+ldoBias*R11</x:v>
      </x:c>
      <x:c r="J55" s="61" t="str">
        <x:v>Reference, divider and typical ADJ bias.</x:v>
      </x:c>
    </x:row>
    <x:row r="56" ht="38" customHeight="1">
      <x:c r="A56" s="44" t="str">
        <x:v>R12</x:v>
      </x:c>
      <x:c r="B56" s="68" t="n">
        <x:v>1000</x:v>
      </x:c>
      <x:c r="C56" s="44" t="str">
        <x:v>ohm</x:v>
      </x:c>
      <x:c r="D56" s="61" t="str">
        <x:v>LT3010 ADJ-to-ground resistor, 1%
Source: CAD R12</x:v>
      </x:c>
      <x:c r="E56" s="44"/>
      <x:c r="F56" s="44" t="str">
        <x:v>LDO example heat</x:v>
      </x:c>
      <x:c r="G56" s="72" t="n">
        <x:f>(B10-(B57*(1+B55/B56)+B58*B55))*B59</x:f>
        <x:v>0.13510421</x:v>
      </x:c>
      <x:c r="H56" s="44" t="str">
        <x:v>W</x:v>
      </x:c>
      <x:c r="I56" s="61" t="str">
        <x:v>(pack-(ldoRef*(1+R11/R12)+ldoBias*R11))*ldoLoad</x:v>
      </x:c>
      <x:c r="J56" s="61" t="str">
        <x:v>Illustrative 10 mA; excludes quiescent current, requires thermal validation.</x:v>
      </x:c>
    </x:row>
    <x:row r="57" ht="38" customHeight="1">
      <x:c r="A57" s="44" t="str">
        <x:v>ldoRef</x:v>
      </x:c>
      <x:c r="B57" s="83" t="n">
        <x:v>1.275</x:v>
      </x:c>
      <x:c r="C57" s="44" t="str">
        <x:v>V</x:v>
      </x:c>
      <x:c r="D57" s="61" t="str">
        <x:v>LT3010 ADJ reference nominal
Source: https://www.analog.com/media/en/technical-documentation/data-sheets/lt3010-3010-5.pdf</x:v>
      </x:c>
      <x:c r="E57" s="44"/>
      <x:c r="F57" s="44"/>
      <x:c r="G57" s="44"/>
      <x:c r="H57" s="44"/>
      <x:c r="I57" s="44"/>
      <x:c r="J57" s="44"/>
    </x:row>
    <x:row r="58" ht="38" customHeight="1">
      <x:c r="A58" s="44" t="str">
        <x:v>ldoBias</x:v>
      </x:c>
      <x:c r="B58" s="84" t="n">
        <x:v>5e-8</x:v>
      </x:c>
      <x:c r="C58" s="44" t="str">
        <x:v>A</x:v>
      </x:c>
      <x:c r="D58" s="61" t="str">
        <x:v>Typical ADJ bias current
Source: https://www.analog.com/media/en/technical-documentation/data-sheets/lt3010-3010-5.pdf</x:v>
      </x:c>
      <x:c r="E58" s="44"/>
      <x:c r="F58" s="44"/>
      <x:c r="G58" s="44"/>
      <x:c r="H58" s="44"/>
      <x:c r="I58" s="44"/>
      <x:c r="J58" s="44"/>
    </x:row>
    <x:row r="59" ht="38" customHeight="1">
      <x:c r="A59" s="44" t="str">
        <x:v>ldoLoad</x:v>
      </x:c>
      <x:c r="B59" s="85" t="n">
        <x:v>0.01</x:v>
      </x:c>
      <x:c r="C59" s="44" t="str">
        <x:v>A</x:v>
      </x:c>
      <x:c r="D59" s="61" t="str">
        <x:v>Illustrative local 3V3 load; actual consumption unknown
Source: Review assumption, not measured</x:v>
      </x:c>
      <x:c r="E59" s="44"/>
      <x:c r="F59" s="44"/>
      <x:c r="G59" s="44"/>
      <x:c r="H59" s="44"/>
      <x:c r="I59" s="44"/>
      <x:c r="J59" s="44"/>
    </x:row>
    <x:row r="60" ht="38" customHeight="1">
      <x:c r="A60" s="44" t="str">
        <x:v>pack</x:v>
      </x:c>
      <x:c r="B60" s="86" t="n">
        <x:f>B10</x:f>
        <x:v>16.8</x:v>
      </x:c>
      <x:c r="C60" s="44" t="str">
        <x:v>V</x:v>
      </x:c>
      <x:c r="D60" s="61" t="str">
        <x:v>4S fully charged assumption; 4 × 4.2 V
Source: Schematic: 4S input</x:v>
      </x:c>
      <x:c r="E60" s="44"/>
      <x:c r="F60" s="44"/>
      <x:c r="G60" s="44"/>
      <x:c r="H60" s="44"/>
      <x:c r="I60" s="44"/>
      <x:c r="J60" s="44"/>
    </x:row>
    <x:row r="61" ht="38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</x:row>
    <x:row r="62" ht="38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</x:row>
    <x:row r="63" ht="30" customHeight="1">
      <x:c r="A63" s="78" t="str">
        <x:v>INA228 telemetry &amp; calibration</x:v>
      </x:c>
      <x:c r="B63" s="78"/>
      <x:c r="C63" s="78"/>
      <x:c r="D63" s="78"/>
      <x:c r="E63" s="78"/>
      <x:c r="F63" s="78"/>
      <x:c r="G63" s="78"/>
      <x:c r="H63" s="78"/>
      <x:c r="I63" s="78"/>
      <x:c r="J63" s="78"/>
    </x:row>
    <x:row r="64" ht="28" customHeight="1">
      <x:c r="A64" s="60" t="str">
        <x:v>Input / part</x:v>
      </x:c>
      <x:c r="B64" s="60" t="str">
        <x:v>Value</x:v>
      </x:c>
      <x:c r="C64" s="60" t="str">
        <x:v>Unit</x:v>
      </x:c>
      <x:c r="D64" s="60" t="str">
        <x:v>Meaning / source</x:v>
      </x:c>
      <x:c r="E64" s="44"/>
      <x:c r="F64" s="60" t="str">
        <x:v>Calculation</x:v>
      </x:c>
      <x:c r="G64" s="60" t="str">
        <x:v>Result</x:v>
      </x:c>
      <x:c r="H64" s="60" t="str">
        <x:v>Unit</x:v>
      </x:c>
      <x:c r="I64" s="60" t="str">
        <x:v>Equation (input names)</x:v>
      </x:c>
      <x:c r="J64" s="60" t="str">
        <x:v>Conditions / limits</x:v>
      </x:c>
    </x:row>
    <x:row r="65" ht="38" customHeight="1">
      <x:c r="A65" s="44" t="str">
        <x:v>fullHigh</x:v>
      </x:c>
      <x:c r="B65" s="75" t="n">
        <x:v>0.16384</x:v>
      </x:c>
      <x:c r="C65" s="44" t="str">
        <x:v>V</x:v>
      </x:c>
      <x:c r="D65" s="61" t="str">
        <x:v>INA228 ADCRANGE=0 magnitude
Source: https://www.ti.com/lit/ds/symlink/ina228.pdf</x:v>
      </x:c>
      <x:c r="E65" s="44"/>
      <x:c r="F65" s="44" t="str">
        <x:v>INA228 high-range shunt current</x:v>
      </x:c>
      <x:c r="G65" s="72" t="n">
        <x:f>B65/B37</x:f>
        <x:v>32.768</x:v>
      </x:c>
      <x:c r="H65" s="44" t="str">
        <x:v>A</x:v>
      </x:c>
      <x:c r="I65" s="61" t="str">
        <x:v>fullHigh/shunt</x:v>
      </x:c>
      <x:c r="J65" s="61" t="str">
        <x:v>ADCRANGE=0; well above avionics breaker.</x:v>
      </x:c>
    </x:row>
    <x:row r="66" ht="38" customHeight="1">
      <x:c r="A66" s="44" t="str">
        <x:v>fullLow</x:v>
      </x:c>
      <x:c r="B66" s="75" t="n">
        <x:v>0.04096</x:v>
      </x:c>
      <x:c r="C66" s="44" t="str">
        <x:v>V</x:v>
      </x:c>
      <x:c r="D66" s="61" t="str">
        <x:v>INA228 ADCRANGE=1 magnitude
Source: https://www.ti.com/lit/ds/symlink/ina228.pdf</x:v>
      </x:c>
      <x:c r="E66" s="44"/>
      <x:c r="F66" s="44" t="str">
        <x:v>INA228 low-range shunt current</x:v>
      </x:c>
      <x:c r="G66" s="72" t="n">
        <x:f>B66/B37</x:f>
        <x:v>8.192</x:v>
      </x:c>
      <x:c r="H66" s="44" t="str">
        <x:v>A</x:v>
      </x:c>
      <x:c r="I66" s="61" t="str">
        <x:v>fullLow/shunt</x:v>
      </x:c>
      <x:c r="J66" s="61" t="str">
        <x:v>ADCRANGE=1 saturates below possible breaker maximum.</x:v>
      </x:c>
    </x:row>
    <x:row r="67" ht="38" customHeight="1">
      <x:c r="A67" s="44" t="str">
        <x:v>lsb</x:v>
      </x:c>
      <x:c r="B67" s="69" t="n">
        <x:v>0.000025</x:v>
      </x:c>
      <x:c r="C67" s="44" t="str">
        <x:v>A/count</x:v>
      </x:c>
      <x:c r="D67" s="61" t="str">
        <x:v>Example CURRENT_LSB=25 uA/count; not verified firmware
Source: Review assumption</x:v>
      </x:c>
      <x:c r="E67" s="44"/>
      <x:c r="F67" s="44" t="str">
        <x:v>Example CURRENT register span</x:v>
      </x:c>
      <x:c r="G67" s="72" t="n">
        <x:f>B67*B69</x:f>
        <x:v>13.1072</x:v>
      </x:c>
      <x:c r="H67" s="44" t="str">
        <x:v>A</x:v>
      </x:c>
      <x:c r="I67" s="61" t="str">
        <x:v>lsb*upperBits</x:v>
      </x:c>
      <x:c r="J67" s="61" t="str">
        <x:v>Signed positive max is one count less.</x:v>
      </x:c>
    </x:row>
    <x:row r="68" ht="38" customHeight="1">
      <x:c r="A68" s="44" t="str">
        <x:v>calFactor</x:v>
      </x:c>
      <x:c r="B68" s="68" t="n">
        <x:v>13107200000</x:v>
      </x:c>
      <x:c r="C68" s="44" t="str">
        <x:v>constant</x:v>
      </x:c>
      <x:c r="D68" s="61" t="str">
        <x:v>INA228 Equation 2
Source: https://www.ti.com/lit/ds/symlink/ina228.pdf</x:v>
      </x:c>
      <x:c r="E68" s="44"/>
      <x:c r="F68" s="44" t="str">
        <x:v>Example SHUNT_CAL, range 0</x:v>
      </x:c>
      <x:c r="G68" s="88" t="n">
        <x:f>ROUND(B68*B67*B37,0)</x:f>
        <x:v>1638</x:v>
      </x:c>
      <x:c r="H68" s="44" t="str">
        <x:v>register</x:v>
      </x:c>
      <x:c r="I68" s="61" t="str">
        <x:v>ROUND(calFactor*lsb*shunt,0)</x:v>
      </x:c>
      <x:c r="J68" s="61" t="str">
        <x:v>Example only: firmware not inspected.</x:v>
      </x:c>
    </x:row>
    <x:row r="69" ht="38" customHeight="1">
      <x:c r="A69" s="44" t="str">
        <x:v>upperBits</x:v>
      </x:c>
      <x:c r="B69" s="68" t="n">
        <x:v>524288</x:v>
      </x:c>
      <x:c r="C69" s="44" t="str">
        <x:v>counts</x:v>
      </x:c>
      <x:c r="D69" s="61" t="str">
        <x:v>2^19 signed current scaling
Source: https://www.ti.com/lit/ds/symlink/ina228.pdf</x:v>
      </x:c>
      <x:c r="E69" s="44"/>
      <x:c r="F69" s="44" t="str">
        <x:v>Example SHUNT_CAL, range 1</x:v>
      </x:c>
      <x:c r="G69" s="88" t="n">
        <x:f>ROUND(4*B68*B67*B37,0)</x:f>
        <x:v>6554</x:v>
      </x:c>
      <x:c r="H69" s="44" t="str">
        <x:v>register</x:v>
      </x:c>
      <x:c r="I69" s="61" t="str">
        <x:v>ROUND(4*calFactor*lsb*shunt,0)</x:v>
      </x:c>
      <x:c r="J69" s="61" t="str">
        <x:v>Range 1 may saturate before breaker trips.</x:v>
      </x:c>
    </x:row>
    <x:row r="70" ht="38" customHeight="1">
      <x:c r="A70" s="44" t="str">
        <x:v>shunt</x:v>
      </x:c>
      <x:c r="B70" s="87" t="n">
        <x:f>B37</x:f>
        <x:v>0.005</x:v>
      </x:c>
      <x:c r="C70" s="44" t="str">
        <x:v>ohm</x:v>
      </x:c>
      <x:c r="D70" s="61" t="str">
        <x:v>Avionics only; R5 5 mOhm, 2 W, 1%
Source: CAD R5; Ohmite FC4L datasheet</x:v>
      </x:c>
      <x:c r="E70" s="44"/>
      <x:c r="F70" s="44"/>
      <x:c r="G70" s="44"/>
      <x:c r="H70" s="44"/>
      <x:c r="I70" s="44"/>
      <x:c r="J70" s="44"/>
    </x:row>
    <x:row r="71" ht="38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</x:row>
    <x:row r="72" ht="38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</x:row>
    <x:row r="73" ht="30" customHeight="1">
      <x:c r="A73" s="58" t="str">
        <x:v>Capacitor &amp; transient clamp</x:v>
      </x:c>
      <x:c r="B73" s="58"/>
      <x:c r="C73" s="58"/>
      <x:c r="D73" s="58"/>
      <x:c r="E73" s="58"/>
      <x:c r="F73" s="58"/>
      <x:c r="G73" s="58"/>
      <x:c r="H73" s="58"/>
      <x:c r="I73" s="58"/>
      <x:c r="J73" s="58"/>
    </x:row>
    <x:row r="74" ht="28" customHeight="1">
      <x:c r="A74" s="60" t="str">
        <x:v>Input / part</x:v>
      </x:c>
      <x:c r="B74" s="60" t="str">
        <x:v>Value</x:v>
      </x:c>
      <x:c r="C74" s="60" t="str">
        <x:v>Unit</x:v>
      </x:c>
      <x:c r="D74" s="60" t="str">
        <x:v>Meaning / source</x:v>
      </x:c>
      <x:c r="E74" s="44"/>
      <x:c r="F74" s="60" t="str">
        <x:v>Calculation</x:v>
      </x:c>
      <x:c r="G74" s="60" t="str">
        <x:v>Result</x:v>
      </x:c>
      <x:c r="H74" s="60" t="str">
        <x:v>Unit</x:v>
      </x:c>
      <x:c r="I74" s="60" t="str">
        <x:v>Equation (input names)</x:v>
      </x:c>
      <x:c r="J74" s="60" t="str">
        <x:v>Conditions / limits</x:v>
      </x:c>
    </x:row>
    <x:row r="75" ht="38" customHeight="1">
      <x:c r="A75" s="44" t="str">
        <x:v>cap</x:v>
      </x:c>
      <x:c r="B75" s="89" t="n">
        <x:v>0.00033</x:v>
      </x:c>
      <x:c r="C75" s="44" t="str">
        <x:v>F</x:v>
      </x:c>
      <x:c r="D75" s="61" t="str">
        <x:v>C17 nominal 330 uF
Source: CAD C17 Panasonic EEHZL1H331P</x:v>
      </x:c>
      <x:c r="E75" s="44"/>
      <x:c r="F75" s="44" t="str">
        <x:v>C17 energy at full 4S voltage</x:v>
      </x:c>
      <x:c r="G75" s="72" t="n">
        <x:f>0.5*B75*B10^2</x:f>
        <x:v>0.0465696</x:v>
      </x:c>
      <x:c r="H75" s="44" t="str">
        <x:v>J</x:v>
      </x:c>
      <x:c r="I75" s="61" t="str">
        <x:v>0.5*cap*pack^2</x:v>
      </x:c>
      <x:c r="J75" s="61" t="str">
        <x:v>0.5 × C × V²; nominal capacitance.</x:v>
      </x:c>
    </x:row>
    <x:row r="76" ht="38" customHeight="1">
      <x:c r="A76" s="44" t="str">
        <x:v>capRating</x:v>
      </x:c>
      <x:c r="B76" s="68" t="n">
        <x:v>50</x:v>
      </x:c>
      <x:c r="C76" s="44" t="str">
        <x:v>V</x:v>
      </x:c>
      <x:c r="D76" s="61" t="str">
        <x:v>C17 voltage rating
Source: CAD C17</x:v>
      </x:c>
      <x:c r="E76" s="44"/>
      <x:c r="F76" s="44" t="str">
        <x:v>TVS clamp minus C17 rating</x:v>
      </x:c>
      <x:c r="G76" s="72" t="n">
        <x:f>B77-B76</x:f>
        <x:v>-20.8</x:v>
      </x:c>
      <x:c r="H76" s="44" t="str">
        <x:v>V</x:v>
      </x:c>
      <x:c r="I76" s="61" t="str">
        <x:v>tvsClamp-capRating</x:v>
      </x:c>
      <x:c r="J76" s="61" t="str">
        <x:v>Negative margin at the stated TVS pulse condition; also check 38.0 V at 103 A, 8/20 us. Installed peak is not measured.</x:v>
      </x:c>
    </x:row>
    <x:row r="77" ht="38" customHeight="1">
      <x:c r="A77" s="44" t="str">
        <x:v>tvsClamp</x:v>
      </x:c>
      <x:c r="B77" s="83" t="n">
        <x:v>29.2</x:v>
      </x:c>
      <x:c r="C77" s="44" t="str">
        <x:v>V</x:v>
      </x:c>
      <x:c r="D77" s="61" t="str">
        <x:v>D5 SMBJ18CA maximum clamp at 20.6 A, 10/1000 us, 25 C
Source: Bourns SMBJ datasheet, not measured system peak</x:v>
      </x:c>
      <x:c r="E77" s="44"/>
      <x:c r="F77" s="44"/>
      <x:c r="G77" s="44"/>
      <x:c r="H77" s="44"/>
      <x:c r="I77" s="44"/>
      <x:c r="J77" s="44"/>
    </x:row>
    <x:row r="78" ht="38" customHeight="1">
      <x:c r="A78" s="44" t="str">
        <x:v>pack</x:v>
      </x:c>
      <x:c r="B78" s="86" t="n">
        <x:f>B10</x:f>
        <x:v>16.8</x:v>
      </x:c>
      <x:c r="C78" s="44" t="str">
        <x:v>V</x:v>
      </x:c>
      <x:c r="D78" s="61" t="str">
        <x:v>4S fully charged assumption; 4 × 4.2 V
Source: Schematic: 4S input</x:v>
      </x:c>
      <x:c r="E78" s="44"/>
      <x:c r="F78" s="44"/>
      <x:c r="G78" s="44"/>
      <x:c r="H78" s="44"/>
      <x:c r="I78" s="44"/>
      <x:c r="J78" s="44"/>
    </x:row>
    <x:row r="79" ht="38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</x:row>
    <x:row r="80" ht="38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</x:row>
    <x:row r="81" ht="30" customHeight="1">
      <x:c r="A81" s="74" t="str">
        <x:v>Fuse heating</x:v>
      </x:c>
      <x:c r="B81" s="74"/>
      <x:c r="C81" s="74"/>
      <x:c r="D81" s="74"/>
      <x:c r="E81" s="74"/>
      <x:c r="F81" s="74"/>
      <x:c r="G81" s="74"/>
      <x:c r="H81" s="74"/>
      <x:c r="I81" s="74"/>
      <x:c r="J81" s="74"/>
    </x:row>
    <x:row r="82" ht="28" customHeight="1">
      <x:c r="A82" s="60" t="str">
        <x:v>Input / part</x:v>
      </x:c>
      <x:c r="B82" s="60" t="str">
        <x:v>Value</x:v>
      </x:c>
      <x:c r="C82" s="60" t="str">
        <x:v>Unit</x:v>
      </x:c>
      <x:c r="D82" s="60" t="str">
        <x:v>Meaning / source</x:v>
      </x:c>
      <x:c r="E82" s="44"/>
      <x:c r="F82" s="60" t="str">
        <x:v>Calculation</x:v>
      </x:c>
      <x:c r="G82" s="60" t="str">
        <x:v>Result</x:v>
      </x:c>
      <x:c r="H82" s="60" t="str">
        <x:v>Unit</x:v>
      </x:c>
      <x:c r="I82" s="60" t="str">
        <x:v>Equation (input names)</x:v>
      </x:c>
      <x:c r="J82" s="60" t="str">
        <x:v>Conditions / limits</x:v>
      </x:c>
    </x:row>
    <x:row r="83" ht="38" customHeight="1">
      <x:c r="A83" s="44" t="str">
        <x:v>fuseR</x:v>
      </x:c>
      <x:c r="B83" s="89" t="n">
        <x:v>0.00071</x:v>
      </x:c>
      <x:c r="C83" s="44" t="str">
        <x:v>ohm</x:v>
      </x:c>
      <x:c r="D83" s="61" t="str">
        <x:v>F2 100 A fuse typical cold resistance
Source: Local SCHURTER_UHS.pdf</x:v>
      </x:c>
      <x:c r="E83" s="44"/>
      <x:c r="F83" s="44" t="str">
        <x:v>F2 cold heat at 40 A ESC ceiling</x:v>
      </x:c>
      <x:c r="G83" s="72" t="n">
        <x:f>(B16-B11)^2*B83</x:f>
        <x:v>1.1360000000000001</x:v>
      </x:c>
      <x:c r="H83" s="44" t="str">
        <x:v>W</x:v>
      </x:c>
      <x:c r="I83" s="61" t="str">
        <x:v>(rated-av)^2*fuseR</x:v>
      </x:c>
      <x:c r="J83" s="61" t="str">
        <x:v>Only nominal cold fuse resistance, excludes hot rise and joints.</x:v>
      </x:c>
    </x:row>
    <x:row r="84" ht="38" customHeight="1">
      <x:c r="A84" s="44" t="str">
        <x:v>rated</x:v>
      </x:c>
      <x:c r="B84" s="81" t="n">
        <x:f>B16</x:f>
        <x:v>45</x:v>
      </x:c>
      <x:c r="C84" s="44" t="str">
        <x:v>A</x:v>
      </x:c>
      <x:c r="D84" s="61" t="str">
        <x:v>XT60PW-F manufacturer rated current
Source: https://www.tme.eu/Document/1191bc2fa3aee3c446e5a895fd8f7983/XT60PW-F.pdf</x:v>
      </x:c>
      <x:c r="E84" s="44"/>
      <x:c r="F84" s="44" t="str">
        <x:v>F2 cold heat at previous 60 A</x:v>
      </x:c>
      <x:c r="G84" s="72" t="n">
        <x:f>B13^2*B83</x:f>
        <x:v>2.556</x:v>
      </x:c>
      <x:c r="H84" s="44" t="str">
        <x:v>W</x:v>
      </x:c>
      <x:c r="I84" s="61" t="str">
        <x:v>continuous^2*fuseR</x:v>
      </x:c>
      <x:c r="J84" s="61" t="str">
        <x:v>Historical-target illustration, not authorized operating load.</x:v>
      </x:c>
    </x:row>
    <x:row r="85" ht="38" customHeight="1">
      <x:c r="A85" s="44" t="str">
        <x:v>av</x:v>
      </x:c>
      <x:c r="B85" s="81" t="n">
        <x:f>B11</x:f>
        <x:v>5</x:v>
      </x:c>
      <x:c r="C85" s="44" t="str">
        <x:v>A</x:v>
      </x:c>
      <x:c r="D85" s="61" t="str">
        <x:v>Avionics planning allowance; not measured
Source: Existing PDB planning notes</x:v>
      </x:c>
      <x:c r="E85" s="44"/>
      <x:c r="F85" s="44" t="str">
        <x:v>F2 cold heat at previous 100 A</x:v>
      </x:c>
      <x:c r="G85" s="72" t="n">
        <x:f>B14^2*B83</x:f>
        <x:v>7.1000000000000005</x:v>
      </x:c>
      <x:c r="H85" s="44" t="str">
        <x:v>W</x:v>
      </x:c>
      <x:c r="I85" s="61" t="str">
        <x:v>burst^2*fuseR</x:v>
      </x:c>
      <x:c r="J85" s="61" t="str">
        <x:v>100 A fuse remains; does not protect 45 A connector against sustained overload.</x:v>
      </x:c>
    </x:row>
    <x:row r="86" ht="38" customHeight="1">
      <x:c r="A86" s="44" t="str">
        <x:v>continuous</x:v>
      </x:c>
      <x:c r="B86" s="81" t="n">
        <x:f>B13</x:f>
        <x:v>60</x:v>
      </x:c>
      <x:c r="C86" s="44" t="str">
        <x:v>A</x:v>
      </x:c>
      <x:c r="D86" s="61" t="str">
        <x:v>Previous ESC target; not supported by XT60PW-F
Source: Previous revision only</x:v>
      </x:c>
      <x:c r="E86" s="44"/>
      <x:c r="F86" s="44"/>
      <x:c r="G86" s="44"/>
      <x:c r="H86" s="44"/>
      <x:c r="I86" s="44"/>
      <x:c r="J86" s="44"/>
    </x:row>
    <x:row r="87" ht="38" customHeight="1">
      <x:c r="A87" s="44" t="str">
        <x:v>burst</x:v>
      </x:c>
      <x:c r="B87" s="81" t="n">
        <x:f>B14</x:f>
        <x:v>100</x:v>
      </x:c>
      <x:c r="C87" s="44" t="str">
        <x:v>A</x:v>
      </x:c>
      <x:c r="D87" s="61" t="str">
        <x:v>Previous 30 s ESC target; not supported by XT60PW-F
Source: Previous revision only</x:v>
      </x:c>
      <x:c r="E87" s="44"/>
      <x:c r="F87" s="44"/>
      <x:c r="G87" s="44"/>
      <x:c r="H87" s="44"/>
      <x:c r="I87" s="44"/>
      <x:c r="J87" s="44"/>
    </x:row>
    <x:row r="88" ht="38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</x:row>
    <x:row r="89" ht="38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</x:row>
    <x:row r="90" ht="30" customHeight="1">
      <x:c r="A90" s="78" t="str">
        <x:v>Copper material model</x:v>
      </x:c>
      <x:c r="B90" s="78"/>
      <x:c r="C90" s="78"/>
      <x:c r="D90" s="78"/>
      <x:c r="E90" s="78"/>
      <x:c r="F90" s="78"/>
      <x:c r="G90" s="78"/>
      <x:c r="H90" s="78"/>
      <x:c r="I90" s="78"/>
      <x:c r="J90" s="78"/>
    </x:row>
    <x:row r="91" ht="28" customHeight="1">
      <x:c r="A91" s="60" t="str">
        <x:v>Input / part</x:v>
      </x:c>
      <x:c r="B91" s="60" t="str">
        <x:v>Value</x:v>
      </x:c>
      <x:c r="C91" s="60" t="str">
        <x:v>Unit</x:v>
      </x:c>
      <x:c r="D91" s="60" t="str">
        <x:v>Meaning / source</x:v>
      </x:c>
      <x:c r="E91" s="44"/>
      <x:c r="F91" s="60" t="str">
        <x:v>Calculation</x:v>
      </x:c>
      <x:c r="G91" s="60" t="str">
        <x:v>Result</x:v>
      </x:c>
      <x:c r="H91" s="60" t="str">
        <x:v>Unit</x:v>
      </x:c>
      <x:c r="I91" s="60" t="str">
        <x:v>Equation (input names)</x:v>
      </x:c>
      <x:c r="J91" s="60" t="str">
        <x:v>Conditions / limits</x:v>
      </x:c>
    </x:row>
    <x:row r="92" ht="38" customHeight="1">
      <x:c r="A92" s="44" t="str">
        <x:v>rho</x:v>
      </x:c>
      <x:c r="B92" s="84" t="n">
        <x:v>1.724e-8</x:v>
      </x:c>
      <x:c r="C92" s="44" t="str">
        <x:v>ohm m</x:v>
      </x:c>
      <x:c r="D92" s="61" t="str">
        <x:v>Copper resistivity at 20 C; nominal material model
Source: Standard nominal material assumption</x:v>
      </x:c>
      <x:c r="E92" s="44"/>
      <x:c r="F92" s="44" t="str">
        <x:v>Outer copper sheet resistance</x:v>
      </x:c>
      <x:c r="G92" s="72" t="n">
        <x:f>B92/B93*1000</x:f>
        <x:v>0.4925714285714286</x:v>
      </x:c>
      <x:c r="H92" s="44" t="str">
        <x:v>mOhm/square</x:v>
      </x:c>
      <x:c r="I92" s="61" t="str">
        <x:v>rho/outer*1000</x:v>
      </x:c>
      <x:c r="J92" s="61" t="str">
        <x:v>No geometry or connector constriction included.</x:v>
      </x:c>
    </x:row>
    <x:row r="93" ht="38" customHeight="1">
      <x:c r="A93" s="44" t="str">
        <x:v>outer</x:v>
      </x:c>
      <x:c r="B93" s="89" t="n">
        <x:v>0.000035</x:v>
      </x:c>
      <x:c r="C93" s="44" t="str">
        <x:v>m</x:v>
      </x:c>
      <x:c r="D93" s="61" t="str">
        <x:v>35 um nominal outer copper
Source: Saved board stackup: 1 oz</x:v>
      </x:c>
      <x:c r="E93" s="44"/>
      <x:c r="F93" s="44" t="str">
        <x:v>Inner copper sheet resistance</x:v>
      </x:c>
      <x:c r="G93" s="72" t="n">
        <x:f>B92/B94*1000</x:f>
        <x:v>0.9851428571428572</x:v>
      </x:c>
      <x:c r="H93" s="44" t="str">
        <x:v>mOhm/square</x:v>
      </x:c>
      <x:c r="I93" s="61" t="str">
        <x:v>rho/inner*1000</x:v>
      </x:c>
      <x:c r="J93" s="61" t="str">
        <x:v>No geometry included.</x:v>
      </x:c>
    </x:row>
    <x:row r="94" ht="38" customHeight="1">
      <x:c r="A94" s="44" t="str">
        <x:v>inner</x:v>
      </x:c>
      <x:c r="B94" s="89" t="n">
        <x:v>0.0000175</x:v>
      </x:c>
      <x:c r="C94" s="44" t="str">
        <x:v>m</x:v>
      </x:c>
      <x:c r="D94" s="61" t="str">
        <x:v>17.5 um nominal inner copper
Source: Saved board stackup: 0.5 oz</x:v>
      </x:c>
      <x:c r="E94" s="44"/>
      <x:c r="F94" s="44" t="str">
        <x:v>Copper resistance factor at temperature</x:v>
      </x:c>
      <x:c r="G94" s="72" t="n">
        <x:f>1+B95*(B96-20)</x:f>
        <x:v>1.2358</x:v>
      </x:c>
      <x:c r="H94" s="44" t="str">
        <x:v>ratio</x:v>
      </x:c>
      <x:c r="I94" s="61" t="str">
        <x:v>1+alpha*(temp-20)</x:v>
      </x:c>
      <x:c r="J94" s="61" t="str">
        <x:v>Nominal linear material law; no thermal simulation.</x:v>
      </x:c>
    </x:row>
    <x:row r="95" ht="38" customHeight="1">
      <x:c r="A95" s="44" t="str">
        <x:v>alpha</x:v>
      </x:c>
      <x:c r="B95" s="75" t="n">
        <x:v>0.00393</x:v>
      </x:c>
      <x:c r="C95" s="44" t="str">
        <x:v>1/C</x:v>
      </x:c>
      <x:c r="D95" s="61" t="str">
        <x:v>Nominal copper temperature coefficient near 20 C
Source: Material screening assumption</x:v>
      </x:c>
      <x:c r="E95" s="44"/>
      <x:c r="F95" s="44"/>
      <x:c r="G95" s="44"/>
      <x:c r="H95" s="44"/>
      <x:c r="I95" s="44"/>
      <x:c r="J95" s="44"/>
    </x:row>
    <x:row r="96" ht="38" customHeight="1">
      <x:c r="A96" s="44" t="str">
        <x:v>temp</x:v>
      </x:c>
      <x:c r="B96" s="65" t="n">
        <x:v>80</x:v>
      </x:c>
      <x:c r="C96" s="44" t="str">
        <x:v>C</x:v>
      </x:c>
      <x:c r="D96" s="61" t="str">
        <x:v>Example copper temperature for resistance scaling
Source: Review assumption</x:v>
      </x:c>
      <x:c r="E96" s="44"/>
      <x:c r="F96" s="44"/>
      <x:c r="G96" s="44"/>
      <x:c r="H96" s="44"/>
      <x:c r="I96" s="44"/>
      <x:c r="J96" s="44"/>
    </x:row>
    <x:row r="97" ht="38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</x:row>
    <x:row r="98" ht="38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</x:row>
    <x:row r="99" ht="30" customHeight="1">
      <x:c r="A99" s="58" t="str">
        <x:v>Host I2C timing</x:v>
      </x:c>
      <x:c r="B99" s="58"/>
      <x:c r="C99" s="58"/>
      <x:c r="D99" s="58"/>
      <x:c r="E99" s="58"/>
      <x:c r="F99" s="58"/>
      <x:c r="G99" s="58"/>
      <x:c r="H99" s="58"/>
      <x:c r="I99" s="58"/>
      <x:c r="J99" s="58"/>
    </x:row>
    <x:row r="100" ht="28" customHeight="1">
      <x:c r="A100" s="60" t="str">
        <x:v>Input / part</x:v>
      </x:c>
      <x:c r="B100" s="60" t="str">
        <x:v>Value</x:v>
      </x:c>
      <x:c r="C100" s="60" t="str">
        <x:v>Unit</x:v>
      </x:c>
      <x:c r="D100" s="60" t="str">
        <x:v>Meaning / source</x:v>
      </x:c>
      <x:c r="E100" s="44"/>
      <x:c r="F100" s="60" t="str">
        <x:v>Calculation</x:v>
      </x:c>
      <x:c r="G100" s="60" t="str">
        <x:v>Result</x:v>
      </x:c>
      <x:c r="H100" s="60" t="str">
        <x:v>Unit</x:v>
      </x:c>
      <x:c r="I100" s="60" t="str">
        <x:v>Equation (input names)</x:v>
      </x:c>
      <x:c r="J100" s="60" t="str">
        <x:v>Conditions / limits</x:v>
      </x:c>
    </x:row>
    <x:row r="101" ht="38" customHeight="1">
      <x:c r="A101" s="44" t="str">
        <x:v>busC</x:v>
      </x:c>
      <x:c r="B101" s="90" t="n">
        <x:v>9e-11</x:v>
      </x:c>
      <x:c r="C101" s="44" t="str">
        <x:v>F</x:v>
      </x:c>
      <x:c r="D101" s="61" t="str">
        <x:v>90 pF assumed total I2C bus capacitance
Source: Previous review assumption; host/cable unknown</x:v>
      </x:c>
      <x:c r="E101" s="44"/>
      <x:c r="F101" s="44" t="str">
        <x:v>Example I2C rise time</x:v>
      </x:c>
      <x:c r="G101" s="72" t="n">
        <x:f>0.8473*B102*B101*1000000000</x:f>
        <x:v>358.40790000000004</x:v>
      </x:c>
      <x:c r="H101" s="44" t="str">
        <x:v>ns</x:v>
      </x:c>
      <x:c r="I101" s="61" t="str">
        <x:v>0.8473*pullup*busC*1000000000</x:v>
      </x:c>
      <x:c r="J101" s="61" t="str">
        <x:v>External 4.7 kOhm / 90 pF assumption; measure actual cable bus.</x:v>
      </x:c>
    </x:row>
    <x:row r="102" ht="38" customHeight="1">
      <x:c r="A102" s="44" t="str">
        <x:v>pullup</x:v>
      </x:c>
      <x:c r="B102" s="65" t="n">
        <x:v>4700</x:v>
      </x:c>
      <x:c r="C102" s="44" t="str">
        <x:v>ohm</x:v>
      </x:c>
      <x:c r="D102" s="61" t="str">
        <x:v>Example external host pull-up; R17/R18 remain DNP
Source: Host assumption, not board-fitted</x:v>
      </x:c>
      <x:c r="E102" s="44"/>
      <x:c r="F102" s="44"/>
      <x:c r="G102" s="44"/>
      <x:c r="H102" s="44"/>
      <x:c r="I102" s="44"/>
      <x:c r="J102" s="44"/>
    </x:row>
    <x:row r="103" ht="38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</x:row>
    <x:row r="104" ht="38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</x:row>
    <x:row r="105" ht="30" customHeight="1">
      <x:c r="A105" s="92" t="str">
        <x:v>Startup &amp; MOSFET SOA screening</x:v>
      </x:c>
      <x:c r="B105" s="92"/>
      <x:c r="C105" s="92"/>
      <x:c r="D105" s="92"/>
      <x:c r="E105" s="92"/>
      <x:c r="F105" s="92"/>
      <x:c r="G105" s="92"/>
      <x:c r="H105" s="92"/>
      <x:c r="I105" s="92"/>
      <x:c r="J105" s="92"/>
    </x:row>
    <x:row r="106" ht="28" customHeight="1">
      <x:c r="A106" s="60" t="str">
        <x:v>Input / part</x:v>
      </x:c>
      <x:c r="B106" s="60" t="str">
        <x:v>Value</x:v>
      </x:c>
      <x:c r="C106" s="60" t="str">
        <x:v>Unit</x:v>
      </x:c>
      <x:c r="D106" s="60" t="str">
        <x:v>Meaning / source</x:v>
      </x:c>
      <x:c r="E106" s="44"/>
      <x:c r="F106" s="60" t="str">
        <x:v>Calculation</x:v>
      </x:c>
      <x:c r="G106" s="60" t="str">
        <x:v>Result</x:v>
      </x:c>
      <x:c r="H106" s="60" t="str">
        <x:v>Unit</x:v>
      </x:c>
      <x:c r="I106" s="60" t="str">
        <x:v>Equation (input names)</x:v>
      </x:c>
      <x:c r="J106" s="60" t="str">
        <x:v>Conditions / limits</x:v>
      </x:c>
    </x:row>
    <x:row r="107" ht="38" customHeight="1">
      <x:c r="A107" s="44" t="str">
        <x:v>gateCap</x:v>
      </x:c>
      <x:c r="B107" s="84" t="n">
        <x:v>2.2e-8</x:v>
      </x:c>
      <x:c r="C107" s="44" t="str">
        <x:v>F</x:v>
      </x:c>
      <x:c r="D107" s="61" t="str">
        <x:v>C1 gate ramp, 22 nF C0G +/-5%
Source: CAD C1 and LTC4368 Figure 7</x:v>
      </x:c>
      <x:c r="E107" s="44"/>
      <x:c r="F107" s="44" t="str">
        <x:v>Gate ramp typical</x:v>
      </x:c>
      <x:c r="G107" s="72" t="n">
        <x:f>B107*B10/B110*1000</x:f>
        <x:v>10.56</x:v>
      </x:c>
      <x:c r="H107" s="44" t="str">
        <x:v>ms</x:v>
      </x:c>
      <x:c r="I107" s="61" t="str">
        <x:v>gateCap*pack/gateTyp*1000</x:v>
      </x:c>
      <x:c r="J107" s="61" t="str">
        <x:v>Source-follower screening model; MOSFET gate charge and host load affect actual waveform.</x:v>
      </x:c>
    </x:row>
    <x:row r="108" ht="38" customHeight="1">
      <x:c r="A108" s="44" t="str">
        <x:v>gateTol</x:v>
      </x:c>
      <x:c r="B108" s="76" t="n">
        <x:v>0.05</x:v>
      </x:c>
      <x:c r="C108" s="44" t="str">
        <x:v>fraction</x:v>
      </x:c>
      <x:c r="D108" s="61" t="str">
        <x:v>C1 capacitance tolerance
Source: TDK C2012C0G2A223J125AC</x:v>
      </x:c>
      <x:c r="E108" s="44"/>
      <x:c r="F108" s="44" t="str">
        <x:v>Gate ramp slow corner</x:v>
      </x:c>
      <x:c r="G108" s="72" t="n">
        <x:f>B107*(1+B108)*B10/B109*1000</x:f>
        <x:v>19.403999999999996</x:v>
      </x:c>
      <x:c r="H108" s="44" t="str">
        <x:v>ms</x:v>
      </x:c>
      <x:c r="I108" s="61" t="str">
        <x:v>gateCap*(1+gateTol)*pack/gateMin*1000</x:v>
      </x:c>
      <x:c r="J108" s="61" t="str">
        <x:v>Uses 12 V datasheet current corner as screening input, not a guaranteed full-supply timing limit.</x:v>
      </x:c>
    </x:row>
    <x:row r="109" ht="38" customHeight="1">
      <x:c r="A109" s="44" t="str">
        <x:v>gateMin</x:v>
      </x:c>
      <x:c r="B109" s="89" t="n">
        <x:v>0.00002</x:v>
      </x:c>
      <x:c r="C109" s="44" t="str">
        <x:v>A</x:v>
      </x:c>
      <x:c r="D109" s="61" t="str">
        <x:v>Gate pull-up minimum magnitude at datasheet 12 V condition
Source: https://www.analog.com/media/en/technical-documentation/data-sheets/ltc4368.pdf</x:v>
      </x:c>
      <x:c r="E109" s="44"/>
      <x:c r="F109" s="44" t="str">
        <x:v>Startup capacitive inrush fast corner</x:v>
      </x:c>
      <x:c r="G109" s="72" t="n">
        <x:f>B112*B111/(B107*(1-B108))</x:f>
        <x:v>0.31578947368421056</x:v>
      </x:c>
      <x:c r="H109" s="44" t="str">
        <x:v>A</x:v>
      </x:c>
      <x:c r="I109" s="61" t="str">
        <x:v>startupCap*gateMax/(gateCap*(1-gateTol))</x:v>
      </x:c>
      <x:c r="J109" s="61" t="str">
        <x:v>110 uF screening bound only; external capacitance is unknown.</x:v>
      </x:c>
    </x:row>
    <x:row r="110" ht="38" customHeight="1">
      <x:c r="A110" s="44" t="str">
        <x:v>gateTyp</x:v>
      </x:c>
      <x:c r="B110" s="89" t="n">
        <x:v>0.000035</x:v>
      </x:c>
      <x:c r="C110" s="44" t="str">
        <x:v>A</x:v>
      </x:c>
      <x:c r="D110" s="61" t="str">
        <x:v>Gate pull-up typical magnitude at datasheet 12 V condition
Source: https://www.analog.com/media/en/technical-documentation/data-sheets/ltc4368.pdf</x:v>
      </x:c>
      <x:c r="E110" s="44"/>
      <x:c r="F110" s="44" t="str">
        <x:v>Startup total current screen</x:v>
      </x:c>
      <x:c r="G110" s="72" t="n">
        <x:f>B113+B112*B111/(B107*(1-B108))</x:f>
        <x:v>5.315789473684211</x:v>
      </x:c>
      <x:c r="H110" s="44" t="str">
        <x:v>A</x:v>
      </x:c>
      <x:c r="I110" s="61" t="str">
        <x:v>startupLoad+startupCap*gateMax/(gateCap*(1-gateTol))</x:v>
      </x:c>
      <x:c r="J110" s="61" t="str">
        <x:v>Constant-current startup example; constant-power converters can behave differently.</x:v>
      </x:c>
    </x:row>
    <x:row r="111" ht="38" customHeight="1">
      <x:c r="A111" s="44" t="str">
        <x:v>gateMax</x:v>
      </x:c>
      <x:c r="B111" s="89" t="n">
        <x:v>0.00006</x:v>
      </x:c>
      <x:c r="C111" s="44" t="str">
        <x:v>A</x:v>
      </x:c>
      <x:c r="D111" s="61" t="str">
        <x:v>Gate pull-up maximum magnitude at datasheet 12 V condition
Source: https://www.analog.com/media/en/technical-documentation/data-sheets/ltc4368.pdf</x:v>
      </x:c>
      <x:c r="E111" s="44"/>
      <x:c r="F111" s="44" t="str">
        <x:v>Startup FET rectangular energy bound</x:v>
      </x:c>
      <x:c r="G111" s="72" t="n">
        <x:f>B10*(B113+B112*B111/(B107*(1-B108)))*B107*(1+B108)*B10/B109</x:f>
        <x:v>1.7328793263157896</x:v>
      </x:c>
      <x:c r="H111" s="44" t="str">
        <x:v>J</x:v>
      </x:c>
      <x:c r="I111" s="61" t="str">
        <x:v>pack*(startupLoad+startupCap*gateMax/(gateCap*(1-gateTol)))*gateCap*(1+gateTol)*pack/gateMin</x:v>
      </x:c>
      <x:c r="J111" s="61" t="str">
        <x:v>Conservative mixed-corner single-FET screen. Energy alone does not prove SOA or repeated-retry safety.</x:v>
      </x:c>
    </x:row>
    <x:row r="112" ht="38" customHeight="1">
      <x:c r="A112" s="44" t="str">
        <x:v>startupCap</x:v>
      </x:c>
      <x:c r="B112" s="89" t="n">
        <x:v>0.00011</x:v>
      </x:c>
      <x:c r="C112" s="44" t="str">
        <x:v>F</x:v>
      </x:c>
      <x:c r="D112" s="61" t="str">
        <x:v>110 uF screening bound: PDB plus known Osiris input caps; excludes external devices
Source: Review bound from host netlist; measure installed effective load</x:v>
      </x:c>
      <x:c r="E112" s="44"/>
      <x:c r="F112" s="44"/>
      <x:c r="G112" s="44"/>
      <x:c r="H112" s="44"/>
      <x:c r="I112" s="44"/>
      <x:c r="J112" s="44"/>
    </x:row>
    <x:row r="113" ht="38" customHeight="1">
      <x:c r="A113" s="44" t="str">
        <x:v>startupLoad</x:v>
      </x:c>
      <x:c r="B113" s="65" t="n">
        <x:v>5</x:v>
      </x:c>
      <x:c r="C113" s="44" t="str">
        <x:v>A</x:v>
      </x:c>
      <x:c r="D113" s="61" t="str">
        <x:v>Conservative constant-current startup example, not measured waveform
Source: Existing avionics planning allowance</x:v>
      </x:c>
      <x:c r="E113" s="44"/>
      <x:c r="F113" s="44"/>
      <x:c r="G113" s="44"/>
      <x:c r="H113" s="44"/>
      <x:c r="I113" s="44"/>
      <x:c r="J113" s="44"/>
    </x:row>
    <x:row r="114" ht="38" customHeight="1">
      <x:c r="A114" s="44" t="str">
        <x:v>pack</x:v>
      </x:c>
      <x:c r="B114" s="86" t="n">
        <x:f>B10</x:f>
        <x:v>16.8</x:v>
      </x:c>
      <x:c r="C114" s="44" t="str">
        <x:v>V</x:v>
      </x:c>
      <x:c r="D114" s="61" t="str">
        <x:v>4S fully charged assumption; 4 × 4.2 V
Source: Schematic: 4S input</x:v>
      </x:c>
      <x:c r="E114" s="44"/>
      <x:c r="F114" s="44"/>
      <x:c r="G114" s="44"/>
      <x:c r="H114" s="44"/>
      <x:c r="I114" s="44"/>
      <x:c r="J114" s="44"/>
    </x:row>
    <x:row r="115" ht="38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</x:row>
    <x:row r="116" ht="38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</x:row>
    <x:row r="117" ht="30" customHeight="1">
      <x:c r="A117" s="78" t="str">
        <x:v>Actual Osiris host bus</x:v>
      </x:c>
      <x:c r="B117" s="78"/>
      <x:c r="C117" s="78"/>
      <x:c r="D117" s="78"/>
      <x:c r="E117" s="78"/>
      <x:c r="F117" s="78"/>
      <x:c r="G117" s="78"/>
      <x:c r="H117" s="78"/>
      <x:c r="I117" s="78"/>
      <x:c r="J117" s="78"/>
    </x:row>
    <x:row r="118" ht="28" customHeight="1">
      <x:c r="A118" s="60" t="str">
        <x:v>Input / part</x:v>
      </x:c>
      <x:c r="B118" s="60" t="str">
        <x:v>Value</x:v>
      </x:c>
      <x:c r="C118" s="60" t="str">
        <x:v>Unit</x:v>
      </x:c>
      <x:c r="D118" s="60" t="str">
        <x:v>Meaning / source</x:v>
      </x:c>
      <x:c r="E118" s="44"/>
      <x:c r="F118" s="60" t="str">
        <x:v>Calculation</x:v>
      </x:c>
      <x:c r="G118" s="60" t="str">
        <x:v>Result</x:v>
      </x:c>
      <x:c r="H118" s="60" t="str">
        <x:v>Unit</x:v>
      </x:c>
      <x:c r="I118" s="60" t="str">
        <x:v>Equation (input names)</x:v>
      </x:c>
      <x:c r="J118" s="60" t="str">
        <x:v>Conditions / limits</x:v>
      </x:c>
    </x:row>
    <x:row r="119" ht="38" customHeight="1">
      <x:c r="A119" s="44" t="str">
        <x:v>hostPullup</x:v>
      </x:c>
      <x:c r="B119" s="68" t="n">
        <x:v>4700</x:v>
      </x:c>
      <x:c r="C119" s="44" t="str">
        <x:v>ohm</x:v>
      </x:c>
      <x:c r="D119" s="61" t="str">
        <x:v>Updated Osiris R74/R75 on I2C1; local PDB R17/R18 remain DNP
Source: Current Osiris netlist</x:v>
      </x:c>
      <x:c r="E119" s="44"/>
      <x:c r="F119" s="44" t="str">
        <x:v>Host I2C rise time with actual pull-ups</x:v>
      </x:c>
      <x:c r="G119" s="72" t="n">
        <x:f>0.8473*B119*B101*1000000000</x:f>
        <x:v>358.40790000000004</x:v>
      </x:c>
      <x:c r="H119" s="44" t="str">
        <x:v>ns</x:v>
      </x:c>
      <x:c r="I119" s="61" t="str">
        <x:v>0.8473*hostPullup*busC*1000000000</x:v>
      </x:c>
      <x:c r="J119" s="61" t="str">
        <x:v>100 kHz standard mode only; 90 pF assumption; measure installed bus. 4.7 kOhm supports about 251 pF at 100 kHz.</x:v>
      </x:c>
    </x:row>
    <x:row r="120" ht="38" customHeight="1">
      <x:c r="A120" s="44" t="str">
        <x:v>busC</x:v>
      </x:c>
      <x:c r="B120" s="93" t="n">
        <x:f>B101</x:f>
        <x:v>9e-11</x:v>
      </x:c>
      <x:c r="C120" s="44" t="str">
        <x:v>F</x:v>
      </x:c>
      <x:c r="D120" s="61" t="str">
        <x:v>90 pF assumed total I2C bus capacitance
Source: Previous review assumption; host/cable unknown</x:v>
      </x:c>
      <x:c r="E120" s="44"/>
      <x:c r="F120" s="44" t="str">
        <x:v>Host bus capacitance ceiling at 100 kHz</x:v>
      </x:c>
      <x:c r="G120" s="72" t="n">
        <x:f>1000000/(0.8473*B119)</x:f>
        <x:v>251.11053634699456</x:v>
      </x:c>
      <x:c r="H120" s="44" t="str">
        <x:v>pF</x:v>
      </x:c>
      <x:c r="I120" s="61" t="str">
        <x:v>1000000/(0.8473*hostPullup)</x:v>
      </x:c>
      <x:c r="J120" s="61" t="str">
        <x:v>1000 ns maximum rise time; reduce pull-up resistance on host if measured bus exceeds this.</x:v>
      </x:c>
    </x:row>
    <x:row r="121" ht="38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</x:row>
    <x:row r="122" ht="38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</x:row>
    <x:row r="123" ht="30" customHeight="1">
      <x:c r="A123" s="58" t="str">
        <x:v>Fast transient voltage margin</x:v>
      </x:c>
      <x:c r="B123" s="58"/>
      <x:c r="C123" s="58"/>
      <x:c r="D123" s="58"/>
      <x:c r="E123" s="58"/>
      <x:c r="F123" s="58"/>
      <x:c r="G123" s="58"/>
      <x:c r="H123" s="58"/>
      <x:c r="I123" s="58"/>
      <x:c r="J123" s="58"/>
    </x:row>
    <x:row r="124" ht="28" customHeight="1">
      <x:c r="A124" s="60" t="str">
        <x:v>Input / part</x:v>
      </x:c>
      <x:c r="B124" s="60" t="str">
        <x:v>Value</x:v>
      </x:c>
      <x:c r="C124" s="60" t="str">
        <x:v>Unit</x:v>
      </x:c>
      <x:c r="D124" s="60" t="str">
        <x:v>Meaning / source</x:v>
      </x:c>
      <x:c r="E124" s="44"/>
      <x:c r="F124" s="60" t="str">
        <x:v>Calculation</x:v>
      </x:c>
      <x:c r="G124" s="60" t="str">
        <x:v>Result</x:v>
      </x:c>
      <x:c r="H124" s="60" t="str">
        <x:v>Unit</x:v>
      </x:c>
      <x:c r="I124" s="60" t="str">
        <x:v>Equation (input names)</x:v>
      </x:c>
      <x:c r="J124" s="60" t="str">
        <x:v>Conditions / limits</x:v>
      </x:c>
    </x:row>
    <x:row r="125" ht="38" customHeight="1">
      <x:c r="A125" s="44" t="str">
        <x:v>tvsFast</x:v>
      </x:c>
      <x:c r="B125" s="68" t="n">
        <x:v>38</x:v>
      </x:c>
      <x:c r="C125" s="44" t="str">
        <x:v>V</x:v>
      </x:c>
      <x:c r="D125" s="61" t="str">
        <x:v>D5 clamp at 103 A, 8/20 us, 25 C
Source: Bourns SMBJ18CA</x:v>
      </x:c>
      <x:c r="E125" s="44"/>
      <x:c r="F125" s="44" t="str">
        <x:v>Fast pulse TVS clamp minus C17 rating</x:v>
      </x:c>
      <x:c r="G125" s="72" t="n">
        <x:f>B125-B76</x:f>
        <x:v>-12</x:v>
      </x:c>
      <x:c r="H125" s="44" t="str">
        <x:v>V</x:v>
      </x:c>
      <x:c r="I125" s="61" t="str">
        <x:v>tvsFast-capRating</x:v>
      </x:c>
      <x:c r="J125" s="61" t="str">
        <x:v>38.0 V vs 50 V at specified pulse condition. Overshoot and temperature still require waveform testing.</x:v>
      </x:c>
    </x:row>
    <x:row r="126" ht="38" customHeight="1">
      <x:c r="A126" s="44" t="str">
        <x:v>capRating</x:v>
      </x:c>
      <x:c r="B126" s="81" t="n">
        <x:f>B76</x:f>
        <x:v>50</x:v>
      </x:c>
      <x:c r="C126" s="44" t="str">
        <x:v>V</x:v>
      </x:c>
      <x:c r="D126" s="61" t="str">
        <x:v>C17 voltage rating
Source: CAD C17</x:v>
      </x:c>
      <x:c r="E126" s="44"/>
      <x:c r="F126" s="44"/>
      <x:c r="G126" s="44"/>
      <x:c r="H126" s="44"/>
      <x:c r="I126" s="44"/>
      <x:c r="J126" s="44"/>
    </x:row>
    <x:row r="127" ht="38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</x:row>
    <x:row r="128" ht="38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</x:row>
    <x:row r="129" ht="30" customHeight="1">
      <x:c r="A129" s="74" t="str">
        <x:v>Board geometry &amp; measurements needed</x:v>
      </x:c>
      <x:c r="B129" s="74"/>
      <x:c r="C129" s="74"/>
      <x:c r="D129" s="74"/>
      <x:c r="E129" s="74"/>
      <x:c r="F129" s="74"/>
      <x:c r="G129" s="74"/>
      <x:c r="H129" s="74"/>
      <x:c r="I129" s="74"/>
      <x:c r="J129" s="74"/>
    </x:row>
    <x:row r="130" ht="28" customHeight="1">
      <x:c r="A130" s="60" t="str">
        <x:v>Input / part</x:v>
      </x:c>
      <x:c r="B130" s="60" t="str">
        <x:v>Value</x:v>
      </x:c>
      <x:c r="C130" s="60" t="str">
        <x:v>Unit</x:v>
      </x:c>
      <x:c r="D130" s="60" t="str">
        <x:v>Meaning / source</x:v>
      </x:c>
      <x:c r="E130" s="44"/>
      <x:c r="F130" s="60" t="str">
        <x:v>Calculation</x:v>
      </x:c>
      <x:c r="G130" s="60" t="str">
        <x:v>Result</x:v>
      </x:c>
      <x:c r="H130" s="60" t="str">
        <x:v>Unit</x:v>
      </x:c>
      <x:c r="I130" s="60" t="str">
        <x:v>Equation (input names)</x:v>
      </x:c>
      <x:c r="J130" s="60" t="str">
        <x:v>Conditions / limits</x:v>
      </x:c>
    </x:row>
    <x:row r="131" ht="38" customHeight="1">
      <x:c r="A131" s="44" t="str">
        <x:v>width</x:v>
      </x:c>
      <x:c r="B131" s="83" t="n">
        <x:v>82.5</x:v>
      </x:c>
      <x:c r="C131" s="44" t="str">
        <x:v>mm</x:v>
      </x:c>
      <x:c r="D131" s="61" t="str">
        <x:v>Finished rectangular board width
Source: Current Edge.Cuts</x:v>
      </x:c>
      <x:c r="E131" s="44"/>
      <x:c r="F131" s="44" t="str">
        <x:v>Finished board area</x:v>
      </x:c>
      <x:c r="G131" s="72" t="n">
        <x:f>B131*B132</x:f>
        <x:v>5362.5</x:v>
      </x:c>
      <x:c r="H131" s="44" t="str">
        <x:v>mm²</x:v>
      </x:c>
      <x:c r="I131" s="61" t="str">
        <x:v>width*height</x:v>
      </x:c>
      <x:c r="J131" s="61" t="str">
        <x:v>Actual new rectangular outline.</x:v>
      </x:c>
    </x:row>
    <x:row r="132" ht="38" customHeight="1">
      <x:c r="A132" s="44" t="str">
        <x:v>height</x:v>
      </x:c>
      <x:c r="B132" s="68" t="n">
        <x:v>65</x:v>
      </x:c>
      <x:c r="C132" s="44" t="str">
        <x:v>mm</x:v>
      </x:c>
      <x:c r="D132" s="61" t="str">
        <x:v>Finished rectangular board height
Source: Current Edge.Cuts</x:v>
      </x:c>
      <x:c r="E132" s="44"/>
      <x:c r="F132" s="44" t="str">
        <x:v>Revised PCB loop resistance</x:v>
      </x:c>
      <x:c r="G132" s="95" t="str">
        <x:v>Unavailable</x:v>
      </x:c>
      <x:c r="H132" s="44" t="str">
        <x:v>ohm</x:v>
      </x:c>
      <x:c r="I132" s="61" t="str">
        <x:v>Measurement / engineering input required</x:v>
      </x:c>
      <x:c r="J132" s="61" t="str">
        <x:v>Unavailable: revised filled geometry needs a new extraction or 4-wire measurement.</x:v>
      </x:c>
    </x:row>
    <x:row r="133" ht="38" customHeight="1">
      <x:c r="A133" s="44"/>
      <x:c r="B133" s="44"/>
      <x:c r="C133" s="44"/>
      <x:c r="D133" s="44"/>
      <x:c r="E133" s="44"/>
      <x:c r="F133" s="44" t="str">
        <x:v>Qualified continuous board current</x:v>
      </x:c>
      <x:c r="G133" s="95" t="str">
        <x:v>Unavailable</x:v>
      </x:c>
      <x:c r="H133" s="44" t="str">
        <x:v>A</x:v>
      </x:c>
      <x:c r="I133" s="61" t="str">
        <x:v>Measurement / engineering input required</x:v>
      </x:c>
      <x:c r="J133" s="61" t="str">
        <x:v>Unavailable: thermal test in intended enclosure/harness/ambient required.</x:v>
      </x:c>
    </x:row>
    <x:row r="134" ht="38" customHeight="1">
      <x:c r="A134" s="44"/>
      <x:c r="B134" s="44"/>
      <x:c r="C134" s="44"/>
      <x:c r="D134" s="44"/>
      <x:c r="E134" s="44"/>
      <x:c r="F134" s="44" t="str">
        <x:v>Pack fault current and fuse clearing</x:v>
      </x:c>
      <x:c r="G134" s="95" t="str">
        <x:v>Unavailable</x:v>
      </x:c>
      <x:c r="H134" s="44" t="str">
        <x:v>A / s</x:v>
      </x:c>
      <x:c r="I134" s="61" t="str">
        <x:v>Measurement / engineering input required</x:v>
      </x:c>
      <x:c r="J134" s="61" t="str">
        <x:v>Unavailable: pack ESR, harness R and L, fuse curve and source voltage required.</x:v>
      </x:c>
    </x:row>
    <x:row r="135" ht="38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</x:row>
    <x:row r="136" ht="38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</x:row>
    <x:row r="137" ht="38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</x:row>
    <x:row r="138" ht="38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</x:row>
    <x:row r="139" ht="38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</x:row>
    <x:row r="140" ht="38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</x:row>
    <x:row r="141" ht="38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</x:row>
    <x:row r="142" ht="38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</x:row>
    <x:row r="143" ht="38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</x:row>
    <x:row r="144" ht="38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</x:row>
    <x:row r="145" ht="38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</x:row>
    <x:row r="146" ht="38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</x:row>
    <x:row r="147" ht="38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</x:row>
    <x:row r="148" ht="38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</x:row>
    <x:row r="149" ht="38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</x:row>
    <x:row r="150" ht="38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</x:row>
    <x:row r="151" ht="38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</x:row>
    <x:row r="152" ht="38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</x:row>
    <x:row r="153" ht="38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</x:row>
    <x:row r="154" ht="38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</x:row>
    <x:row r="155" ht="38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</x:row>
    <x:row r="156" ht="38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</x:row>
    <x:row r="157" ht="38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</x:row>
    <x:row r="158" ht="38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</x:row>
    <x:row r="159" ht="38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</x:row>
    <x:row r="160" ht="38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</x:row>
    <x:row r="161" ht="38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</x:row>
    <x:row r="162" ht="38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</x:row>
    <x:row r="163" ht="38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</x:row>
    <x:row r="164" ht="38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</x:row>
    <x:row r="165" ht="38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</x:row>
    <x:row r="166" ht="38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</x:row>
    <x:row r="167" ht="38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</x:row>
    <x:row r="168" ht="38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</x:row>
    <x:row r="169" ht="38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</x:row>
    <x:row r="170" ht="38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</x:row>
    <x:row r="171" ht="38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</x:row>
    <x:row r="172" ht="38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</x:row>
    <x:row r="173" ht="38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</x:row>
    <x:row r="174" ht="38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</x:row>
    <x:row r="175" ht="38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</x:row>
    <x:row r="176" ht="38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</x:row>
    <x:row r="177" ht="38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</x:row>
    <x:row r="178" ht="38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</x:row>
    <x:row r="179" ht="38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</x:row>
    <x:row r="180" ht="38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</x:row>
    <x:row r="181" ht="38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</x:row>
    <x:row r="182" ht="38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</x:row>
    <x:row r="183" ht="38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</x:row>
    <x:row r="184" ht="38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</x:row>
    <x:row r="185" ht="38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</x:row>
    <x:row r="186" ht="38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</x:row>
    <x:row r="187" ht="38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</x:row>
    <x:row r="188" ht="38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</x:row>
    <x:row r="189" ht="38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</x:row>
    <x:row r="190" ht="38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</x:row>
    <x:row r="191" ht="38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</x:row>
    <x:row r="192" ht="38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</x:row>
    <x:row r="193" ht="38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</x:row>
    <x:row r="194" ht="38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</x:row>
    <x:row r="195" ht="38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</x:row>
    <x:row r="196" ht="38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</x:row>
    <x:row r="197" ht="38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</x:row>
    <x:row r="198" ht="38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</x:row>
    <x:row r="199" ht="38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</x:row>
    <x:row r="200" ht="38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</x:row>
    <x:row r="201" ht="38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</x:row>
    <x:row r="202" ht="38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</x:row>
    <x:row r="203" ht="38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</x:row>
    <x:row r="204" ht="38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</x:row>
    <x:row r="205" ht="38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</x:row>
    <x:row r="206" ht="38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</x:row>
    <x:row r="207" ht="38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</x:row>
    <x:row r="208" ht="38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</x:row>
    <x:row r="209" ht="38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</x:row>
    <x:row r="210" ht="38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</x:row>
    <x:row r="211" ht="38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</x:row>
    <x:row r="212" ht="38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</x:row>
    <x:row r="213" ht="38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</x:row>
    <x:row r="214" ht="38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</x:row>
    <x:row r="215" ht="38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</x:row>
    <x:row r="216" ht="38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</x:row>
    <x:row r="217" ht="38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</x:row>
    <x:row r="218" ht="38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</x:row>
    <x:row r="219" ht="38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</x:row>
    <x:row r="220" ht="38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</x:row>
  </x:sheetData>
  <x:mergeCells>
    <x:mergeCell ref="A2:J2"/>
    <x:mergeCell ref="A4:J4"/>
    <x:mergeCell ref="A5:J5"/>
    <x:mergeCell ref="A6:J6"/>
    <x:mergeCell ref="A8:J8"/>
    <x:mergeCell ref="A21:J21"/>
    <x:mergeCell ref="A35:J35"/>
    <x:mergeCell ref="A47:J47"/>
    <x:mergeCell ref="A53:J53"/>
    <x:mergeCell ref="A63:J63"/>
    <x:mergeCell ref="A73:J73"/>
    <x:mergeCell ref="A81:J81"/>
    <x:mergeCell ref="A90:J90"/>
    <x:mergeCell ref="A99:J99"/>
    <x:mergeCell ref="A105:J105"/>
    <x:mergeCell ref="A117:J117"/>
    <x:mergeCell ref="A123:J123"/>
    <x:mergeCell ref="A129:J129"/>
  </x:mergeCells>
  <x:pageMargins left="0.7" right="0.7" top="0.75" bottom="0.75" header="0.3" footer="0.3"/>
</x:worksheet>
</file>