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b354f61a4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B order plan" sheetId="1" r:id="Rf9e2d417728a462c"/>
    <x:sheet xmlns:r="http://schemas.openxmlformats.org/officeDocument/2006/relationships" name="Rev B candidates" sheetId="2" r:id="Rc0a772a208da47bc"/>
    <x:sheet xmlns:r="http://schemas.openxmlformats.org/officeDocument/2006/relationships" name="Feeder setup" sheetId="3" r:id="R4b20a7dab9c846cb"/>
    <x:sheet xmlns:r="http://schemas.openxmlformats.org/officeDocument/2006/relationships" name="Part specifications" sheetId="4" r:id="R20cebfe0f8d5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4">
    <x:font>
      <x:sz val="11"/>
      <x:name val="Carlito"/>
    </x:font>
    <x:font>
      <x:sz val="10"/>
      <x:color rgb="FF172A3A"/>
      <x:name val="Arial"/>
    </x:font>
    <x:font>
      <x:b/>
      <x:sz val="15"/>
      <x:color rgb="FF172A3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2">
    <x:border/>
    <x:border>
      <x:bottom style="thin">
        <x:color rgb="FF17324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2900"/>
      </x:font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ce4e88e6c4e53" /><Relationship Type="http://schemas.openxmlformats.org/officeDocument/2006/relationships/theme" Target="/xl/theme/theme1.xml" Id="Re178dee49a41497a" /><Relationship Type="http://schemas.openxmlformats.org/officeDocument/2006/relationships/sharedStrings" Target="/xl/sharedStrings.xml" Id="R8da63a5d747a4f3a" /><Relationship Type="http://schemas.openxmlformats.org/officeDocument/2006/relationships/worksheet" Target="/xl/worksheets/sheet1.xml" Id="Rf9e2d417728a462c" /><Relationship Type="http://schemas.openxmlformats.org/officeDocument/2006/relationships/worksheet" Target="/xl/worksheets/sheet2.xml" Id="Rc0a772a208da47bc" /><Relationship Type="http://schemas.openxmlformats.org/officeDocument/2006/relationships/worksheet" Target="/xl/worksheets/sheet3.xml" Id="R4b20a7dab9c846cb" /><Relationship Type="http://schemas.openxmlformats.org/officeDocument/2006/relationships/worksheet" Target="/xl/worksheets/sheet4.xml" Id="R20cebfe0f8d54b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2" hidden="0" customWidth="1"/>
    <x:col min="4" max="4" width="27" hidden="0" customWidth="1"/>
    <x:col min="5" max="5" width="24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77" hidden="0" customWidth="1"/>
    <x:col min="11" max="11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PDB parts planning | 13 September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PDB build quantity</x:v>
      </x:c>
      <x:c r="B4" s="5"/>
      <x:c r="C4" s="2"/>
      <x:c r="D4" s="2" t="str">
        <x:v>Enter quantity, feeder loss and inventory. Spare allowance starts at 10%; edit to your process.</x:v>
      </x:c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Spare allowance</x:v>
      </x:c>
      <x:c r="B5" s="6" t="n">
        <x:v>0.1</x:v>
      </x:c>
      <x:c r="C5" s="2"/>
      <x:c r="D5" s="2" t="str">
        <x:v>Prototype procurement baseline. Rev B power architecture remains open. No production-volume release.</x:v>
      </x:c>
      <x:c r="E5" s="2"/>
      <x:c r="F5" s="2"/>
      <x:c r="G5" s="2"/>
      <x:c r="H5" s="2"/>
      <x:c r="I5" s="2"/>
      <x:c r="J5" s="2"/>
      <x:c r="K5" s="2"/>
    </x:row>
    <x:row r="6" ht="24" customHeight="1">
      <x:c r="A6" s="2" t="str">
        <x:v>Setup loss / SMT SKU</x:v>
      </x:c>
      <x:c r="B6" s="5"/>
      <x:c r="C6" s="2"/>
      <x:c r="D6" s="2" t="str">
        <x:v>Seven bare test pads need no purchased part. Fuse holder and replaceable fuse are separate items.</x:v>
      </x:c>
      <x:c r="E6" s="2"/>
      <x:c r="F6" s="2"/>
      <x:c r="G6" s="2"/>
      <x:c r="H6" s="2"/>
      <x:c r="I6" s="2"/>
      <x:c r="J6" s="2"/>
      <x:c r="K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6" customHeight="1">
      <x:c r="A8" s="10" t="str">
        <x:v>Manufacturer part number</x:v>
      </x:c>
      <x:c r="B8" s="10" t="str">
        <x:v>PDB references</x:v>
      </x:c>
      <x:c r="C8" s="10" t="str">
        <x:v>Qty / PDB</x:v>
      </x:c>
      <x:c r="D8" s="10" t="str">
        <x:v>Package</x:v>
      </x:c>
      <x:c r="E8" s="10" t="str">
        <x:v>Assembly</x:v>
      </x:c>
      <x:c r="F8" s="10" t="str">
        <x:v>Buy scope</x:v>
      </x:c>
      <x:c r="G8" s="10" t="str">
        <x:v>Gross need</x:v>
      </x:c>
      <x:c r="H8" s="10" t="str">
        <x:v>On hand</x:v>
      </x:c>
      <x:c r="I8" s="10" t="str">
        <x:v>To buy</x:v>
      </x:c>
      <x:c r="J8" s="10" t="str">
        <x:v>Release condition</x:v>
      </x:c>
      <x:c r="K8" s="2"/>
    </x:row>
    <x:row r="9" ht="24" customHeight="1">
      <x:c r="A9" s="2" t="str">
        <x:v>0297004.WXNV</x:v>
      </x:c>
      <x:c r="B9" s="2" t="str">
        <x:v>F1</x:v>
      </x:c>
      <x:c r="C9" s="11" t="n">
        <x:v>1</x:v>
      </x:c>
      <x:c r="D9" s="2" t="str">
        <x:v>MINI blade fuse</x:v>
      </x:c>
      <x:c r="E9" s="2" t="str">
        <x:v>Manual insertion</x:v>
      </x:c>
      <x:c r="F9" s="2" t="str">
        <x:v>Hold final rating</x:v>
      </x:c>
      <x:c r="G9" s="11" t="str">
        <x:f>IF(AND(ISNUMBER($B$4),ISNUMBER($B$5)),IF($B$4=0,0,IF(AND(E9="SMT",NOT(ISNUMBER($B$6))),"",ROUNDUP(C9*$B$4*(1+$B$5),0)+IF(E9="SMT",$B$6,0))),"")</x:f>
      </x:c>
      <x:c r="H9" s="12"/>
      <x:c r="I9" s="11" t="str">
        <x:f>IF(AND(ISNUMBER(G9),ISNUMBER(H9)),MAX(0,G9-H9),"")</x:f>
      </x:c>
      <x:c r="J9" s="2" t="str">
        <x:v>4 A candidate; new Rev B load budget not defined</x:v>
      </x:c>
      <x:c r="K9" s="2"/>
    </x:row>
    <x:row r="10" ht="24" customHeight="1">
      <x:c r="A10" s="2" t="str">
        <x:v>74AUP1G07GW,125</x:v>
      </x:c>
      <x:c r="B10" s="2" t="str">
        <x:v>U4</x:v>
      </x:c>
      <x:c r="C10" s="11" t="n">
        <x:v>1</x:v>
      </x:c>
      <x:c r="D10" s="2" t="str">
        <x:v>SOT-353</x:v>
      </x:c>
      <x:c r="E10" s="2" t="str">
        <x:v>SMT</x:v>
      </x:c>
      <x:c r="F10" s="2" t="str">
        <x:v>Prototype quantity</x:v>
      </x:c>
      <x:c r="G10" s="11" t="str">
        <x:f>IF(AND(ISNUMBER($B$4),ISNUMBER($B$5)),IF($B$4=0,0,IF(AND(E10="SMT",NOT(ISNUMBER($B$6))),"",ROUNDUP(C10*$B$4*(1+$B$5),0)+IF(E10="SMT",$B$6,0))),"")</x:f>
      </x:c>
      <x:c r="H10" s="12"/>
      <x:c r="I10" s="11" t="str">
        <x:f>IF(AND(ISNUMBER(G10),ISNUMBER(H10)),MAX(0,G10-H10),"")</x:f>
      </x:c>
      <x:c r="J10" s="2" t="str">
        <x:v>Nominal baseline; final circuit qualification pending</x:v>
      </x:c>
      <x:c r="K10" s="2"/>
    </x:row>
    <x:row r="11" ht="24" customHeight="1">
      <x:c r="A11" s="2" t="str">
        <x:v>BM04B-GHS-TBT(LF)(SN)</x:v>
      </x:c>
      <x:c r="B11" s="2" t="str">
        <x:v>J2</x:v>
      </x:c>
      <x:c r="C11" s="11" t="n">
        <x:v>1</x:v>
      </x:c>
      <x:c r="D11" s="2" t="str">
        <x:v>JST GH 4-pin vertical</x:v>
      </x:c>
      <x:c r="E11" s="2" t="str">
        <x:v>SMT</x:v>
      </x:c>
      <x:c r="F11" s="2" t="str">
        <x:v>Prototype quantity</x:v>
      </x:c>
      <x:c r="G11" s="11" t="str">
        <x:f>IF(AND(ISNUMBER($B$4),ISNUMBER($B$5)),IF($B$4=0,0,IF(AND(E11="SMT",NOT(ISNUMBER($B$6))),"",ROUNDUP(C11*$B$4*(1+$B$5),0)+IF(E11="SMT",$B$6,0))),"")</x:f>
      </x:c>
      <x:c r="H11" s="12"/>
      <x:c r="I11" s="11" t="str">
        <x:f>IF(AND(ISNUMBER(G11),ISNUMBER(H11)),MAX(0,G11-H11),"")</x:f>
      </x:c>
      <x:c r="J11" s="2" t="str">
        <x:v>PDB connector baseline; new top-facing Rev B ports may differ</x:v>
      </x:c>
      <x:c r="K11" s="2"/>
    </x:row>
    <x:row r="12" ht="24" customHeight="1">
      <x:c r="A12" s="2" t="str">
        <x:v>C0603C104K4RACTU</x:v>
      </x:c>
      <x:c r="B12" s="2" t="str">
        <x:v>C3, C5, C8</x:v>
      </x:c>
      <x:c r="C12" s="11" t="n">
        <x:v>3</x:v>
      </x:c>
      <x:c r="D12" s="2" t="str">
        <x:v>0603 (EIA)</x:v>
      </x:c>
      <x:c r="E12" s="2" t="str">
        <x:v>SMT</x:v>
      </x:c>
      <x:c r="F12" s="2" t="str">
        <x:v>Prototype quantity</x:v>
      </x:c>
      <x:c r="G12" s="11" t="str">
        <x:f>IF(AND(ISNUMBER($B$4),ISNUMBER($B$5)),IF($B$4=0,0,IF(AND(E12="SMT",NOT(ISNUMBER($B$6))),"",ROUNDUP(C12*$B$4*(1+$B$5),0)+IF(E12="SMT",$B$6,0))),"")</x:f>
      </x:c>
      <x:c r="H12" s="12"/>
      <x:c r="I12" s="11" t="str">
        <x:f>IF(AND(ISNUMBER(G12),ISNUMBER(H12)),MAX(0,G12-H12),"")</x:f>
      </x:c>
      <x:c r="J12" s="2" t="str">
        <x:v>Nominal baseline; final circuit qualification pending</x:v>
      </x:c>
      <x:c r="K12" s="2"/>
    </x:row>
    <x:row r="13" ht="24" customHeight="1">
      <x:c r="A13" s="2" t="str">
        <x:v>C1608X7R1H104K080AA</x:v>
      </x:c>
      <x:c r="B13" s="2" t="str">
        <x:v>C7</x:v>
      </x:c>
      <x:c r="C13" s="11" t="n">
        <x:v>1</x:v>
      </x:c>
      <x:c r="D13" s="2" t="str">
        <x:v>0603 (EIA)</x:v>
      </x:c>
      <x:c r="E13" s="2" t="str">
        <x:v>SMT</x:v>
      </x:c>
      <x:c r="F13" s="2" t="str">
        <x:v>Prototype quantity</x:v>
      </x:c>
      <x:c r="G13" s="11" t="str">
        <x:f>IF(AND(ISNUMBER($B$4),ISNUMBER($B$5)),IF($B$4=0,0,IF(AND(E13="SMT",NOT(ISNUMBER($B$6))),"",ROUNDUP(C13*$B$4*(1+$B$5),0)+IF(E13="SMT",$B$6,0))),"")</x:f>
      </x:c>
      <x:c r="H13" s="12"/>
      <x:c r="I13" s="11" t="str">
        <x:f>IF(AND(ISNUMBER(G13),ISNUMBER(H13)),MAX(0,G13-H13),"")</x:f>
      </x:c>
      <x:c r="J13" s="2" t="str">
        <x:v>Nominal baseline; final circuit qualification pending</x:v>
      </x:c>
      <x:c r="K13" s="2"/>
    </x:row>
    <x:row r="14" ht="24" customHeight="1">
      <x:c r="A14" s="2" t="str">
        <x:v>C2012C0G2A562J125AA</x:v>
      </x:c>
      <x:c r="B14" s="2" t="str">
        <x:v>C1</x:v>
      </x:c>
      <x:c r="C14" s="11" t="n">
        <x:v>1</x:v>
      </x:c>
      <x:c r="D14" s="2" t="str">
        <x:v>0805 (EIA)</x:v>
      </x:c>
      <x:c r="E14" s="2" t="str">
        <x:v>SMT</x:v>
      </x:c>
      <x:c r="F14" s="2" t="str">
        <x:v>Prototype quantity</x:v>
      </x:c>
      <x:c r="G14" s="11" t="str">
        <x:f>IF(AND(ISNUMBER($B$4),ISNUMBER($B$5)),IF($B$4=0,0,IF(AND(E14="SMT",NOT(ISNUMBER($B$6))),"",ROUNDUP(C14*$B$4*(1+$B$5),0)+IF(E14="SMT",$B$6,0))),"")</x:f>
      </x:c>
      <x:c r="H14" s="12"/>
      <x:c r="I14" s="11" t="str">
        <x:f>IF(AND(ISNUMBER(G14),ISNUMBER(H14)),MAX(0,G14-H14),"")</x:f>
      </x:c>
      <x:c r="J14" s="2" t="str">
        <x:v>Nominal baseline; final circuit qualification pending</x:v>
      </x:c>
      <x:c r="K14" s="2"/>
    </x:row>
    <x:row r="15" ht="24" customHeight="1">
      <x:c r="A15" s="2" t="str">
        <x:v>C2012X7R1A106K125AC</x:v>
      </x:c>
      <x:c r="B15" s="2" t="str">
        <x:v>C6</x:v>
      </x:c>
      <x:c r="C15" s="11" t="n">
        <x:v>1</x:v>
      </x:c>
      <x:c r="D15" s="2" t="str">
        <x:v>0805 (EIA)</x:v>
      </x:c>
      <x:c r="E15" s="2" t="str">
        <x:v>SMT</x:v>
      </x:c>
      <x:c r="F15" s="2" t="str">
        <x:v>Prototype quantity</x:v>
      </x:c>
      <x:c r="G15" s="11" t="str">
        <x:f>IF(AND(ISNUMBER($B$4),ISNUMBER($B$5)),IF($B$4=0,0,IF(AND(E15="SMT",NOT(ISNUMBER($B$6))),"",ROUNDUP(C15*$B$4*(1+$B$5),0)+IF(E15="SMT",$B$6,0))),"")</x:f>
      </x:c>
      <x:c r="H15" s="12"/>
      <x:c r="I15" s="11" t="str">
        <x:f>IF(AND(ISNUMBER(G15),ISNUMBER(H15)),MAX(0,G15-H15),"")</x:f>
      </x:c>
      <x:c r="J15" s="2" t="str">
        <x:v>Nominal baseline; final circuit qualification pending</x:v>
      </x:c>
      <x:c r="K15" s="2"/>
    </x:row>
    <x:row r="16" ht="24" customHeight="1">
      <x:c r="A16" s="2" t="str">
        <x:v>C2012X7R1H105K125AB</x:v>
      </x:c>
      <x:c r="B16" s="2" t="str">
        <x:v>C2</x:v>
      </x:c>
      <x:c r="C16" s="11" t="n">
        <x:v>1</x:v>
      </x:c>
      <x:c r="D16" s="2" t="str">
        <x:v>0805 (EIA)</x:v>
      </x:c>
      <x:c r="E16" s="2" t="str">
        <x:v>SMT</x:v>
      </x:c>
      <x:c r="F16" s="2" t="str">
        <x:v>Prototype quantity</x:v>
      </x:c>
      <x:c r="G16" s="11" t="str">
        <x:f>IF(AND(ISNUMBER($B$4),ISNUMBER($B$5)),IF($B$4=0,0,IF(AND(E16="SMT",NOT(ISNUMBER($B$6))),"",ROUNDUP(C16*$B$4*(1+$B$5),0)+IF(E16="SMT",$B$6,0))),"")</x:f>
      </x:c>
      <x:c r="H16" s="12"/>
      <x:c r="I16" s="11" t="str">
        <x:f>IF(AND(ISNUMBER(G16),ISNUMBER(H16)),MAX(0,G16-H16),"")</x:f>
      </x:c>
      <x:c r="J16" s="2" t="str">
        <x:v>Nominal baseline; final circuit qualification pending</x:v>
      </x:c>
      <x:c r="K16" s="2"/>
    </x:row>
    <x:row r="17" ht="24" customHeight="1">
      <x:c r="A17" s="2" t="str">
        <x:v>C3216X7R1H106K160AC</x:v>
      </x:c>
      <x:c r="B17" s="2" t="str">
        <x:v>C4, C9</x:v>
      </x:c>
      <x:c r="C17" s="11" t="n">
        <x:v>2</x:v>
      </x:c>
      <x:c r="D17" s="2" t="str">
        <x:v>1206 (EIA)</x:v>
      </x:c>
      <x:c r="E17" s="2" t="str">
        <x:v>SMT</x:v>
      </x:c>
      <x:c r="F17" s="2" t="str">
        <x:v>Prototype quantity</x:v>
      </x:c>
      <x:c r="G17" s="11" t="str">
        <x:f>IF(AND(ISNUMBER($B$4),ISNUMBER($B$5)),IF($B$4=0,0,IF(AND(E17="SMT",NOT(ISNUMBER($B$6))),"",ROUNDUP(C17*$B$4*(1+$B$5),0)+IF(E17="SMT",$B$6,0))),"")</x:f>
      </x:c>
      <x:c r="H17" s="12"/>
      <x:c r="I17" s="11" t="str">
        <x:f>IF(AND(ISNUMBER(G17),ISNUMBER(H17)),MAX(0,G17-H17),"")</x:f>
      </x:c>
      <x:c r="J17" s="2" t="str">
        <x:v>Nominal baseline; final circuit qualification pending</x:v>
      </x:c>
      <x:c r="K17" s="2"/>
    </x:row>
    <x:row r="18" ht="24" customHeight="1">
      <x:c r="A18" s="2" t="str">
        <x:v>FC4L64R005FER</x:v>
      </x:c>
      <x:c r="B18" s="2" t="str">
        <x:v>R5</x:v>
      </x:c>
      <x:c r="C18" s="11" t="n">
        <x:v>1</x:v>
      </x:c>
      <x:c r="D18" s="2" t="str">
        <x:v>6432 4-terminal</x:v>
      </x:c>
      <x:c r="E18" s="2" t="str">
        <x:v>SMT</x:v>
      </x:c>
      <x:c r="F18" s="2" t="str">
        <x:v>Prototype quantity</x:v>
      </x:c>
      <x:c r="G18" s="11" t="str">
        <x:f>IF(AND(ISNUMBER($B$4),ISNUMBER($B$5)),IF($B$4=0,0,IF(AND(E18="SMT",NOT(ISNUMBER($B$6))),"",ROUNDUP(C18*$B$4*(1+$B$5),0)+IF(E18="SMT",$B$6,0))),"")</x:f>
      </x:c>
      <x:c r="H18" s="12"/>
      <x:c r="I18" s="11" t="str">
        <x:f>IF(AND(ISNUMBER(G18),ISNUMBER(H18)),MAX(0,G18-H18),"")</x:f>
      </x:c>
      <x:c r="J18" s="2" t="str">
        <x:v>Nominal baseline; final circuit qualification pending</x:v>
      </x:c>
      <x:c r="K18" s="2"/>
    </x:row>
    <x:row r="19" ht="24" customHeight="1">
      <x:c r="A19" s="2" t="str">
        <x:v>INA228AIDGSR</x:v>
      </x:c>
      <x:c r="B19" s="2" t="str">
        <x:v>U2</x:v>
      </x:c>
      <x:c r="C19" s="11" t="n">
        <x:v>1</x:v>
      </x:c>
      <x:c r="D19" s="2" t="str">
        <x:v>VSSOP-10</x:v>
      </x:c>
      <x:c r="E19" s="2" t="str">
        <x:v>SMT</x:v>
      </x:c>
      <x:c r="F19" s="2" t="str">
        <x:v>Prototype quantity</x:v>
      </x:c>
      <x:c r="G19" s="11" t="str">
        <x:f>IF(AND(ISNUMBER($B$4),ISNUMBER($B$5)),IF($B$4=0,0,IF(AND(E19="SMT",NOT(ISNUMBER($B$6))),"",ROUNDUP(C19*$B$4*(1+$B$5),0)+IF(E19="SMT",$B$6,0))),"")</x:f>
      </x:c>
      <x:c r="H19" s="12"/>
      <x:c r="I19" s="11" t="str">
        <x:f>IF(AND(ISNUMBER(G19),ISNUMBER(H19)),MAX(0,G19-H19),"")</x:f>
      </x:c>
      <x:c r="J19" s="2" t="str">
        <x:v>Nominal baseline; final circuit qualification pending</x:v>
      </x:c>
      <x:c r="K19" s="2"/>
    </x:row>
    <x:row r="20" ht="24" customHeight="1">
      <x:c r="A20" s="2" t="str">
        <x:v>ISC015N06NM5LF2ATMA1</x:v>
      </x:c>
      <x:c r="B20" s="2" t="str">
        <x:v>Q1, Q2</x:v>
      </x:c>
      <x:c r="C20" s="11" t="n">
        <x:v>2</x:v>
      </x:c>
      <x:c r="D20" s="2" t="str">
        <x:v>TDSON-8 5x6 mm</x:v>
      </x:c>
      <x:c r="E20" s="2" t="str">
        <x:v>SMT</x:v>
      </x:c>
      <x:c r="F20" s="2" t="str">
        <x:v>Prototype quantity</x:v>
      </x:c>
      <x:c r="G20" s="11" t="str">
        <x:f>IF(AND(ISNUMBER($B$4),ISNUMBER($B$5)),IF($B$4=0,0,IF(AND(E20="SMT",NOT(ISNUMBER($B$6))),"",ROUNDUP(C20*$B$4*(1+$B$5),0)+IF(E20="SMT",$B$6,0))),"")</x:f>
      </x:c>
      <x:c r="H20" s="12"/>
      <x:c r="I20" s="11" t="str">
        <x:f>IF(AND(ISNUMBER(G20),ISNUMBER(H20)),MAX(0,G20-H20),"")</x:f>
      </x:c>
      <x:c r="J20" s="2" t="str">
        <x:v>Fault/clamp/SOA validation open; avoid production-volume buy</x:v>
      </x:c>
      <x:c r="K20" s="2"/>
    </x:row>
    <x:row r="21" ht="24" customHeight="1">
      <x:c r="A21" s="2" t="str">
        <x:v>LTC4368IMS-1#TRPBF</x:v>
      </x:c>
      <x:c r="B21" s="2" t="str">
        <x:v>U1</x:v>
      </x:c>
      <x:c r="C21" s="11" t="n">
        <x:v>1</x:v>
      </x:c>
      <x:c r="D21" s="2" t="str">
        <x:v>MSOP-10</x:v>
      </x:c>
      <x:c r="E21" s="2" t="str">
        <x:v>SMT</x:v>
      </x:c>
      <x:c r="F21" s="2" t="str">
        <x:v>Prototype quantity</x:v>
      </x:c>
      <x:c r="G21" s="11" t="str">
        <x:f>IF(AND(ISNUMBER($B$4),ISNUMBER($B$5)),IF($B$4=0,0,IF(AND(E21="SMT",NOT(ISNUMBER($B$6))),"",ROUNDUP(C21*$B$4*(1+$B$5),0)+IF(E21="SMT",$B$6,0))),"")</x:f>
      </x:c>
      <x:c r="H21" s="12"/>
      <x:c r="I21" s="11" t="str">
        <x:f>IF(AND(ISNUMBER(G21),ISNUMBER(H21)),MAX(0,G21-H21),"")</x:f>
      </x:c>
      <x:c r="J21" s="2" t="str">
        <x:v>TRPBF tape/reel option; preserve -1 and MSOP package</x:v>
      </x:c>
      <x:c r="K21" s="2"/>
    </x:row>
    <x:row r="22" ht="24" customHeight="1">
      <x:c r="A22" s="2" t="str">
        <x:v>MBR0540T1G</x:v>
      </x:c>
      <x:c r="B22" s="2" t="str">
        <x:v>D2, D3</x:v>
      </x:c>
      <x:c r="C22" s="11" t="n">
        <x:v>2</x:v>
      </x:c>
      <x:c r="D22" s="2" t="str">
        <x:v>SOD-123</x:v>
      </x:c>
      <x:c r="E22" s="2" t="str">
        <x:v>SMT</x:v>
      </x:c>
      <x:c r="F22" s="2" t="str">
        <x:v>Prototype quantity</x:v>
      </x:c>
      <x:c r="G22" s="11" t="str">
        <x:f>IF(AND(ISNUMBER($B$4),ISNUMBER($B$5)),IF($B$4=0,0,IF(AND(E22="SMT",NOT(ISNUMBER($B$6))),"",ROUNDUP(C22*$B$4*(1+$B$5),0)+IF(E22="SMT",$B$6,0))),"")</x:f>
      </x:c>
      <x:c r="H22" s="12"/>
      <x:c r="I22" s="11" t="str">
        <x:f>IF(AND(ISNUMBER(G22),ISNUMBER(H22)),MAX(0,G22-H22),"")</x:f>
      </x:c>
      <x:c r="J22" s="2" t="str">
        <x:v>Fault/clamp/SOA validation open; avoid production-volume buy</x:v>
      </x:c>
      <x:c r="K22" s="2"/>
    </x:row>
    <x:row r="23" ht="24" customHeight="1">
      <x:c r="A23" s="2" t="str">
        <x:v>RC0805FR-0710RL</x:v>
      </x:c>
      <x:c r="B23" s="2" t="str">
        <x:v>R8, R9</x:v>
      </x:c>
      <x:c r="C23" s="11" t="n">
        <x:v>2</x:v>
      </x:c>
      <x:c r="D23" s="2" t="str">
        <x:v>0805 (EIA)</x:v>
      </x:c>
      <x:c r="E23" s="2" t="str">
        <x:v>SMT</x:v>
      </x:c>
      <x:c r="F23" s="2" t="str">
        <x:v>Prototype quantity</x:v>
      </x:c>
      <x:c r="G23" s="11" t="str">
        <x:f>IF(AND(ISNUMBER($B$4),ISNUMBER($B$5)),IF($B$4=0,0,IF(AND(E23="SMT",NOT(ISNUMBER($B$6))),"",ROUNDUP(C23*$B$4*(1+$B$5),0)+IF(E23="SMT",$B$6,0))),"")</x:f>
      </x:c>
      <x:c r="H23" s="12"/>
      <x:c r="I23" s="11" t="str">
        <x:f>IF(AND(ISNUMBER(G23),ISNUMBER(H23)),MAX(0,G23-H23),"")</x:f>
      </x:c>
      <x:c r="J23" s="2" t="str">
        <x:v>Nominal baseline; final circuit qualification pending</x:v>
      </x:c>
      <x:c r="K23" s="2"/>
    </x:row>
    <x:row r="24" ht="24" customHeight="1">
      <x:c r="A24" s="2" t="str">
        <x:v>RC0805FR-07200KL</x:v>
      </x:c>
      <x:c r="B24" s="2" t="str">
        <x:v>R7</x:v>
      </x:c>
      <x:c r="C24" s="11" t="n">
        <x:v>1</x:v>
      </x:c>
      <x:c r="D24" s="2" t="str">
        <x:v>0805 (EIA)</x:v>
      </x:c>
      <x:c r="E24" s="2" t="str">
        <x:v>SMT</x:v>
      </x:c>
      <x:c r="F24" s="2" t="str">
        <x:v>Prototype quantity</x:v>
      </x:c>
      <x:c r="G24" s="11" t="str">
        <x:f>IF(AND(ISNUMBER($B$4),ISNUMBER($B$5)),IF($B$4=0,0,IF(AND(E24="SMT",NOT(ISNUMBER($B$6))),"",ROUNDUP(C24*$B$4*(1+$B$5),0)+IF(E24="SMT",$B$6,0))),"")</x:f>
      </x:c>
      <x:c r="H24" s="12"/>
      <x:c r="I24" s="11" t="str">
        <x:f>IF(AND(ISNUMBER(G24),ISNUMBER(H24)),MAX(0,G24-H24),"")</x:f>
      </x:c>
      <x:c r="J24" s="2" t="str">
        <x:v>Nominal baseline; final circuit qualification pending</x:v>
      </x:c>
      <x:c r="K24" s="2"/>
    </x:row>
    <x:row r="25" ht="24" customHeight="1">
      <x:c r="A25" s="2" t="str">
        <x:v>RC0805FR-0722KL</x:v>
      </x:c>
      <x:c r="B25" s="2" t="str">
        <x:v>R4</x:v>
      </x:c>
      <x:c r="C25" s="11" t="n">
        <x:v>1</x:v>
      </x:c>
      <x:c r="D25" s="2" t="str">
        <x:v>0805 (EIA)</x:v>
      </x:c>
      <x:c r="E25" s="2" t="str">
        <x:v>SMT</x:v>
      </x:c>
      <x:c r="F25" s="2" t="str">
        <x:v>Prototype quantity</x:v>
      </x:c>
      <x:c r="G25" s="11" t="str">
        <x:f>IF(AND(ISNUMBER($B$4),ISNUMBER($B$5)),IF($B$4=0,0,IF(AND(E25="SMT",NOT(ISNUMBER($B$6))),"",ROUNDUP(C25*$B$4*(1+$B$5),0)+IF(E25="SMT",$B$6,0))),"")</x:f>
      </x:c>
      <x:c r="H25" s="12"/>
      <x:c r="I25" s="11" t="str">
        <x:f>IF(AND(ISNUMBER(G25),ISNUMBER(H25)),MAX(0,G25-H25),"")</x:f>
      </x:c>
      <x:c r="J25" s="2" t="str">
        <x:v>Nominal baseline; final circuit qualification pending</x:v>
      </x:c>
      <x:c r="K25" s="2"/>
    </x:row>
    <x:row r="26" ht="24" customHeight="1">
      <x:c r="A26" s="2" t="str">
        <x:v>RC0805FR-072ML</x:v>
      </x:c>
      <x:c r="B26" s="2" t="str">
        <x:v>R1</x:v>
      </x:c>
      <x:c r="C26" s="11" t="n">
        <x:v>1</x:v>
      </x:c>
      <x:c r="D26" s="2" t="str">
        <x:v>0805 (EIA)</x:v>
      </x:c>
      <x:c r="E26" s="2" t="str">
        <x:v>SMT</x:v>
      </x:c>
      <x:c r="F26" s="2" t="str">
        <x:v>Prototype quantity</x:v>
      </x:c>
      <x:c r="G26" s="11" t="str">
        <x:f>IF(AND(ISNUMBER($B$4),ISNUMBER($B$5)),IF($B$4=0,0,IF(AND(E26="SMT",NOT(ISNUMBER($B$6))),"",ROUNDUP(C26*$B$4*(1+$B$5),0)+IF(E26="SMT",$B$6,0))),"")</x:f>
      </x:c>
      <x:c r="H26" s="12"/>
      <x:c r="I26" s="11" t="str">
        <x:f>IF(AND(ISNUMBER(G26),ISNUMBER(H26)),MAX(0,G26-H26),"")</x:f>
      </x:c>
      <x:c r="J26" s="2" t="str">
        <x:v>Nominal baseline; final circuit qualification pending</x:v>
      </x:c>
      <x:c r="K26" s="2"/>
    </x:row>
    <x:row r="27" ht="24" customHeight="1">
      <x:c r="A27" s="2" t="str">
        <x:v>RC0805FR-0743K2L</x:v>
      </x:c>
      <x:c r="B27" s="2" t="str">
        <x:v>R2</x:v>
      </x:c>
      <x:c r="C27" s="11" t="n">
        <x:v>1</x:v>
      </x:c>
      <x:c r="D27" s="2" t="str">
        <x:v>0805 (EIA)</x:v>
      </x:c>
      <x:c r="E27" s="2" t="str">
        <x:v>SMT</x:v>
      </x:c>
      <x:c r="F27" s="2" t="str">
        <x:v>Prototype quantity</x:v>
      </x:c>
      <x:c r="G27" s="11" t="str">
        <x:f>IF(AND(ISNUMBER($B$4),ISNUMBER($B$5)),IF($B$4=0,0,IF(AND(E27="SMT",NOT(ISNUMBER($B$6))),"",ROUNDUP(C27*$B$4*(1+$B$5),0)+IF(E27="SMT",$B$6,0))),"")</x:f>
      </x:c>
      <x:c r="H27" s="12"/>
      <x:c r="I27" s="11" t="str">
        <x:f>IF(AND(ISNUMBER(G27),ISNUMBER(H27)),MAX(0,G27-H27),"")</x:f>
      </x:c>
      <x:c r="J27" s="2" t="str">
        <x:v>Nominal baseline; final circuit qualification pending</x:v>
      </x:c>
      <x:c r="K27" s="2"/>
    </x:row>
    <x:row r="28" ht="24" customHeight="1">
      <x:c r="A28" s="2" t="str">
        <x:v>RC0805FR-074K7L</x:v>
      </x:c>
      <x:c r="B28" s="2" t="str">
        <x:v>R10</x:v>
      </x:c>
      <x:c r="C28" s="11" t="n">
        <x:v>1</x:v>
      </x:c>
      <x:c r="D28" s="2" t="str">
        <x:v>0805 (EIA)</x:v>
      </x:c>
      <x:c r="E28" s="2" t="str">
        <x:v>SMT</x:v>
      </x:c>
      <x:c r="F28" s="2" t="str">
        <x:v>Prototype quantity</x:v>
      </x:c>
      <x:c r="G28" s="11" t="str">
        <x:f>IF(AND(ISNUMBER($B$4),ISNUMBER($B$5)),IF($B$4=0,0,IF(AND(E28="SMT",NOT(ISNUMBER($B$6))),"",ROUNDUP(C28*$B$4*(1+$B$5),0)+IF(E28="SMT",$B$6,0))),"")</x:f>
      </x:c>
      <x:c r="H28" s="12"/>
      <x:c r="I28" s="11" t="str">
        <x:f>IF(AND(ISNUMBER(G28),ISNUMBER(H28)),MAX(0,G28-H28),"")</x:f>
      </x:c>
      <x:c r="J28" s="2" t="str">
        <x:v>Nominal baseline; final circuit qualification pending</x:v>
      </x:c>
      <x:c r="K28" s="2"/>
    </x:row>
    <x:row r="29" ht="24" customHeight="1">
      <x:c r="A29" s="2" t="str">
        <x:v>RC0805FR-0756K2L</x:v>
      </x:c>
      <x:c r="B29" s="2" t="str">
        <x:v>R3</x:v>
      </x:c>
      <x:c r="C29" s="11" t="n">
        <x:v>1</x:v>
      </x:c>
      <x:c r="D29" s="2" t="str">
        <x:v>0805 (EIA)</x:v>
      </x:c>
      <x:c r="E29" s="2" t="str">
        <x:v>SMT</x:v>
      </x:c>
      <x:c r="F29" s="2" t="str">
        <x:v>Prototype quantity</x:v>
      </x:c>
      <x:c r="G29" s="11" t="str">
        <x:f>IF(AND(ISNUMBER($B$4),ISNUMBER($B$5)),IF($B$4=0,0,IF(AND(E29="SMT",NOT(ISNUMBER($B$6))),"",ROUNDUP(C29*$B$4*(1+$B$5),0)+IF(E29="SMT",$B$6,0))),"")</x:f>
      </x:c>
      <x:c r="H29" s="12"/>
      <x:c r="I29" s="11" t="str">
        <x:f>IF(AND(ISNUMBER(G29),ISNUMBER(H29)),MAX(0,G29-H29),"")</x:f>
      </x:c>
      <x:c r="J29" s="2" t="str">
        <x:v>Nominal baseline; final circuit qualification pending</x:v>
      </x:c>
      <x:c r="K29" s="2"/>
    </x:row>
    <x:row r="30" ht="24" customHeight="1">
      <x:c r="A30" s="2" t="str">
        <x:v>RC0805FR-07680KL</x:v>
      </x:c>
      <x:c r="B30" s="2" t="str">
        <x:v>R6</x:v>
      </x:c>
      <x:c r="C30" s="11" t="n">
        <x:v>1</x:v>
      </x:c>
      <x:c r="D30" s="2" t="str">
        <x:v>0805 (EIA)</x:v>
      </x:c>
      <x:c r="E30" s="2" t="str">
        <x:v>SMT</x:v>
      </x:c>
      <x:c r="F30" s="2" t="str">
        <x:v>Prototype quantity</x:v>
      </x:c>
      <x:c r="G30" s="11" t="str">
        <x:f>IF(AND(ISNUMBER($B$4),ISNUMBER($B$5)),IF($B$4=0,0,IF(AND(E30="SMT",NOT(ISNUMBER($B$6))),"",ROUNDUP(C30*$B$4*(1+$B$5),0)+IF(E30="SMT",$B$6,0))),"")</x:f>
      </x:c>
      <x:c r="H30" s="12"/>
      <x:c r="I30" s="11" t="str">
        <x:f>IF(AND(ISNUMBER(G30),ISNUMBER(H30)),MAX(0,G30-H30),"")</x:f>
      </x:c>
      <x:c r="J30" s="2" t="str">
        <x:v>Nominal baseline; final circuit qualification pending</x:v>
      </x:c>
      <x:c r="K30" s="2"/>
    </x:row>
    <x:row r="31" ht="24" customHeight="1">
      <x:c r="A31" s="2" t="str">
        <x:v>SMAJ24CA</x:v>
      </x:c>
      <x:c r="B31" s="2" t="str">
        <x:v>D1</x:v>
      </x:c>
      <x:c r="C31" s="11" t="n">
        <x:v>1</x:v>
      </x:c>
      <x:c r="D31" s="2" t="str">
        <x:v>SMA</x:v>
      </x:c>
      <x:c r="E31" s="2" t="str">
        <x:v>SMT</x:v>
      </x:c>
      <x:c r="F31" s="2" t="str">
        <x:v>Prototype quantity</x:v>
      </x:c>
      <x:c r="G31" s="11" t="str">
        <x:f>IF(AND(ISNUMBER($B$4),ISNUMBER($B$5)),IF($B$4=0,0,IF(AND(E31="SMT",NOT(ISNUMBER($B$6))),"",ROUNDUP(C31*$B$4*(1+$B$5),0)+IF(E31="SMT",$B$6,0))),"")</x:f>
      </x:c>
      <x:c r="H31" s="12"/>
      <x:c r="I31" s="11" t="str">
        <x:f>IF(AND(ISNUMBER(G31),ISNUMBER(H31)),MAX(0,G31-H31),"")</x:f>
      </x:c>
      <x:c r="J31" s="2" t="str">
        <x:v>Fault/clamp/SOA validation open; avoid production-volume buy</x:v>
      </x:c>
      <x:c r="K31" s="2"/>
    </x:row>
    <x:row r="32" ht="24" customHeight="1">
      <x:c r="A32" s="2" t="str">
        <x:v>TPS7A1633DGNR</x:v>
      </x:c>
      <x:c r="B32" s="2" t="str">
        <x:v>U3</x:v>
      </x:c>
      <x:c r="C32" s="11" t="n">
        <x:v>1</x:v>
      </x:c>
      <x:c r="D32" s="2" t="str">
        <x:v>MSOP-8 exposed pad</x:v>
      </x:c>
      <x:c r="E32" s="2" t="str">
        <x:v>SMT</x:v>
      </x:c>
      <x:c r="F32" s="2" t="str">
        <x:v>Prototype quantity</x:v>
      </x:c>
      <x:c r="G32" s="11" t="str">
        <x:f>IF(AND(ISNUMBER($B$4),ISNUMBER($B$5)),IF($B$4=0,0,IF(AND(E32="SMT",NOT(ISNUMBER($B$6))),"",ROUNDUP(C32*$B$4*(1+$B$5),0)+IF(E32="SMT",$B$6,0))),"")</x:f>
      </x:c>
      <x:c r="H32" s="12"/>
      <x:c r="I32" s="11" t="str">
        <x:f>IF(AND(ISNUMBER(G32),ISNUMBER(H32)),MAX(0,G32-H32),"")</x:f>
      </x:c>
      <x:c r="J32" s="2" t="str">
        <x:v>Nominal baseline; final circuit qualification pending</x:v>
      </x:c>
      <x:c r="K32" s="2"/>
    </x:row>
    <x:row r="33" ht="24" customHeight="1">
      <x:c r="A33" s="2" t="str">
        <x:v>3568</x:v>
      </x:c>
      <x:c r="B33" s="2" t="str">
        <x:v>F1-holder</x:v>
      </x:c>
      <x:c r="C33" s="11" t="n">
        <x:v>1</x:v>
      </x:c>
      <x:c r="D33" s="2" t="str">
        <x:v>MINI fuse holder TH</x:v>
      </x:c>
      <x:c r="E33" s="2" t="str">
        <x:v>Through-hole / hand</x:v>
      </x:c>
      <x:c r="F33" s="2" t="str">
        <x:v>Prototype quantity</x:v>
      </x:c>
      <x:c r="G33" s="11" t="str">
        <x:f>IF(AND(ISNUMBER($B$4),ISNUMBER($B$5)),IF($B$4=0,0,IF(AND(E33="SMT",NOT(ISNUMBER($B$6))),"",ROUNDUP(C33*$B$4*(1+$B$5),0)+IF(E33="SMT",$B$6,0))),"")</x:f>
      </x:c>
      <x:c r="H33" s="12"/>
      <x:c r="I33" s="11" t="str">
        <x:f>IF(AND(ISNUMBER(G33),ISNUMBER(H33)),MAX(0,G33-H33),"")</x:f>
      </x:c>
      <x:c r="J33" s="2" t="str">
        <x:v>Nominal baseline; final circuit qualification pending</x:v>
      </x:c>
      <x:c r="K33" s="2"/>
    </x:row>
    <x:row r="34" ht="24" customHeight="1">
      <x:c r="A34" s="2" t="str">
        <x:v>XT60PW-F</x:v>
      </x:c>
      <x:c r="B34" s="2" t="str">
        <x:v>J3</x:v>
      </x:c>
      <x:c r="C34" s="11" t="n">
        <x:v>1</x:v>
      </x:c>
      <x:c r="D34" s="2" t="str">
        <x:v>XT60 horizontal TH</x:v>
      </x:c>
      <x:c r="E34" s="2" t="str">
        <x:v>Through-hole / hand</x:v>
      </x:c>
      <x:c r="F34" s="2" t="str">
        <x:v>Prototype quantity</x:v>
      </x:c>
      <x:c r="G34" s="11" t="str">
        <x:f>IF(AND(ISNUMBER($B$4),ISNUMBER($B$5)),IF($B$4=0,0,IF(AND(E34="SMT",NOT(ISNUMBER($B$6))),"",ROUNDUP(C34*$B$4*(1+$B$5),0)+IF(E34="SMT",$B$6,0))),"")</x:f>
      </x:c>
      <x:c r="H34" s="12"/>
      <x:c r="I34" s="11" t="str">
        <x:f>IF(AND(ISNUMBER(G34),ISNUMBER(H34)),MAX(0,G34-H34),"")</x:f>
      </x:c>
      <x:c r="J34" s="2" t="str">
        <x:v>PDB connector baseline; new top-facing Rev B ports may differ</x:v>
      </x:c>
      <x:c r="K34" s="2"/>
    </x:row>
    <x:row r="35" ht="24" customHeight="1">
      <x:c r="A35" s="2" t="str">
        <x:v>XT60PW-M</x:v>
      </x:c>
      <x:c r="B35" s="2" t="str">
        <x:v>J1</x:v>
      </x:c>
      <x:c r="C35" s="11" t="n">
        <x:v>1</x:v>
      </x:c>
      <x:c r="D35" s="2" t="str">
        <x:v>XT60 horizontal TH</x:v>
      </x:c>
      <x:c r="E35" s="2" t="str">
        <x:v>Through-hole / hand</x:v>
      </x:c>
      <x:c r="F35" s="2" t="str">
        <x:v>Prototype quantity</x:v>
      </x:c>
      <x:c r="G35" s="11" t="str">
        <x:f>IF(AND(ISNUMBER($B$4),ISNUMBER($B$5)),IF($B$4=0,0,IF(AND(E35="SMT",NOT(ISNUMBER($B$6))),"",ROUNDUP(C35*$B$4*(1+$B$5),0)+IF(E35="SMT",$B$6,0))),"")</x:f>
      </x:c>
      <x:c r="H35" s="12"/>
      <x:c r="I35" s="11" t="str">
        <x:f>IF(AND(ISNUMBER(G35),ISNUMBER(H35)),MAX(0,G35-H35),"")</x:f>
      </x:c>
      <x:c r="J35" s="2" t="str">
        <x:v>PDB connector baseline; new top-facing Rev B ports may differ</x:v>
      </x:c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conditionalFormatting sqref="F9:F35">
    <x:cfRule type="containsText" dxfId="0" priority="1" operator="containsText" text="Hold"/>
  </x:conditionalFormatting>
  <x:dataValidations count="3">
    <x:dataValidation type="whole" operator="between" sqref="B4">
      <x:formula1>0</x:formula1>
      <x:formula2>100000</x:formula2>
    </x:dataValidation>
    <x:dataValidation type="whole" operator="between" sqref="B6">
      <x:formula1>0</x:formula1>
      <x:formula2>100000</x:formula2>
    </x:dataValidation>
    <x:dataValidation type="whole" operator="between" sqref="H9:H35">
      <x:formula1>0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34" hidden="0" customWidth="1"/>
    <x:col min="5" max="5" width="18" hidden="0" customWidth="1"/>
    <x:col min="6" max="6" width="24" hidden="0" customWidth="1"/>
    <x:col min="7" max="7" width="18" hidden="0" customWidth="1"/>
    <x:col min="8" max="8" width="2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Possible common parts | new Rev B is not frozen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2" t="str">
        <x:v>Matches below are from the local PCB snapshot. Ryan’s new power section and top-facing ports may remove or replace them.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Do not add these counts to a Rev B order until retention and quantities are confirmed. Equal passive values alone do not share reels.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6" customHeight="1">
      <x:c r="A7" s="10" t="str">
        <x:v>Order code / part identifier</x:v>
      </x:c>
      <x:c r="B7" s="10" t="str">
        <x:v>PDB refs</x:v>
      </x:c>
      <x:c r="C7" s="10" t="str">
        <x:v>Qty / PDB</x:v>
      </x:c>
      <x:c r="D7" s="10" t="str">
        <x:v>Existing PCB refs</x:v>
      </x:c>
      <x:c r="E7" s="10" t="str">
        <x:v>Existing PCB qty</x:v>
      </x:c>
      <x:c r="F7" s="10" t="str">
        <x:v>New Rev B retention</x:v>
      </x:c>
      <x:c r="G7" s="10" t="str">
        <x:v>New Rev B qty</x:v>
      </x:c>
      <x:c r="H7" s="10" t="str">
        <x:v>Decision</x:v>
      </x:c>
    </x:row>
    <x:row r="8" ht="24" customHeight="1">
      <x:c r="A8" s="2" t="str">
        <x:v>BM04B-GHS-TBT(LF)(SN)</x:v>
      </x:c>
      <x:c r="B8" s="2" t="str">
        <x:v>J2</x:v>
      </x:c>
      <x:c r="C8" s="2" t="n">
        <x:v>1</x:v>
      </x:c>
      <x:c r="D8" s="2" t="str">
        <x:v>J27, J28, J29, J30, J37</x:v>
      </x:c>
      <x:c r="E8" s="2" t="n">
        <x:v>5</x:v>
      </x:c>
      <x:c r="F8" s="5" t="str">
        <x:v>Unconfirmed</x:v>
      </x:c>
      <x:c r="G8" s="5"/>
      <x:c r="H8" s="2" t="str">
        <x:f>IF(F8="No","Not shared",IF(AND(F8="Yes",ISNUMBER(G8)),"Quantity recorded","Confirm Rev B design"))</x:f>
        <x:v>Confirm Rev B design</x:v>
      </x:c>
    </x:row>
    <x:row r="9" ht="24" customHeight="1">
      <x:c r="A9" s="2" t="str">
        <x:v>INA228AIDGSR</x:v>
      </x:c>
      <x:c r="B9" s="2" t="str">
        <x:v>U2</x:v>
      </x:c>
      <x:c r="C9" s="2" t="n">
        <x:v>1</x:v>
      </x:c>
      <x:c r="D9" s="2" t="str">
        <x:v>IC11</x:v>
      </x:c>
      <x:c r="E9" s="2" t="n">
        <x:v>1</x:v>
      </x:c>
      <x:c r="F9" s="5" t="str">
        <x:v>Unconfirmed</x:v>
      </x:c>
      <x:c r="G9" s="5"/>
      <x:c r="H9" s="2" t="str">
        <x:f>IF(F9="No","Not shared",IF(AND(F9="Yes",ISNUMBER(G9)),"Quantity recorded","Confirm Rev B design"))</x:f>
        <x:v>Confirm Rev B design</x:v>
      </x:c>
    </x:row>
    <x:row r="10" ht="24" customHeight="1">
      <x:c r="A10" s="2" t="str">
        <x:v>XT60PW-F</x:v>
      </x:c>
      <x:c r="B10" s="2" t="str">
        <x:v>J3</x:v>
      </x:c>
      <x:c r="C10" s="2" t="n">
        <x:v>1</x:v>
      </x:c>
      <x:c r="D10" s="2" t="str">
        <x:v>J15</x:v>
      </x:c>
      <x:c r="E10" s="2" t="n">
        <x:v>1</x:v>
      </x:c>
      <x:c r="F10" s="5" t="str">
        <x:v>Unconfirmed</x:v>
      </x:c>
      <x:c r="G10" s="5"/>
      <x:c r="H10" s="2" t="str">
        <x:f>IF(F10="No","Not shared",IF(AND(F10="Yes",ISNUMBER(G10)),"Quantity recorded","Confirm Rev B design"))</x:f>
        <x:v>Confirm Rev B design</x:v>
      </x:c>
    </x:row>
    <x:row r="11" ht="24" customHeight="1">
      <x:c r="A11" s="2" t="str">
        <x:v>XT60PW-M</x:v>
      </x:c>
      <x:c r="B11" s="2" t="str">
        <x:v>J1</x:v>
      </x:c>
      <x:c r="C11" s="2" t="n">
        <x:v>1</x:v>
      </x:c>
      <x:c r="D11" s="2" t="str">
        <x:v>J16</x:v>
      </x:c>
      <x:c r="E11" s="2" t="n">
        <x:v>1</x:v>
      </x:c>
      <x:c r="F11" s="5" t="str">
        <x:v>Unconfirmed</x:v>
      </x:c>
      <x:c r="G11" s="5"/>
      <x:c r="H11" s="2" t="str">
        <x:f>IF(F11="No","Not shared",IF(AND(F11="Yes",ISNUMBER(G11)),"Quantity recorded","Confirm Rev B design"))</x:f>
        <x:v>Confirm Rev B design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 t="str">
        <x:v>Reference: local OsirisRevB PCB snapshot, plus original Rev A source used only to cross-check the same part text.</x:v>
      </x:c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</x:sheetData>
  <x:conditionalFormatting sqref="H8:H11">
    <x:cfRule type="containsText" dxfId="1" priority="1" operator="containsText" text="Confirm"/>
  </x:conditionalFormatting>
  <x:dataValidations count="1">
    <x:dataValidation type="list" sqref="F8:F11">
      <x:formula1>"Unconfirmed,Yes,No"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2" hidden="0" customWidth="1"/>
    <x:col min="4" max="4" width="73" hidden="0" customWidth="1"/>
    <x:col min="5" max="5" width="17" hidden="0" customWidth="1"/>
    <x:col min="6" max="6" width="18" hidden="0" customWidth="1"/>
    <x:col min="7" max="7" width="17" hidden="0" customWidth="1"/>
    <x:col min="8" max="8" width="17" hidden="0" customWidth="1"/>
    <x:col min="9" max="9" width="22" hidden="0" customWidth="1"/>
    <x:col min="10" max="10" width="23" hidden="0" customWidth="1"/>
    <x:col min="11" max="11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SMT feeder preparation | no placement coordinates yet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29 SMT placements; 23 distinct order codes. Carrier dimensions and machine setup are unconfirmed.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Through-hole XT60s/holder and the blade fuse are excluded. Obtain tape leaders, pitch, polarity and nozzle data before ordering reels.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6" customHeight="1">
      <x:c r="A7" s="10" t="str">
        <x:v>Manufacturer part number</x:v>
      </x:c>
      <x:c r="B7" s="10" t="str">
        <x:v>Package</x:v>
      </x:c>
      <x:c r="C7" s="10" t="str">
        <x:v>Qty / PDB</x:v>
      </x:c>
      <x:c r="D7" s="10" t="str">
        <x:v>Supply format</x:v>
      </x:c>
      <x:c r="E7" s="10" t="str">
        <x:v>Tape width mm</x:v>
      </x:c>
      <x:c r="F7" s="10" t="str">
        <x:v>Pocket pitch mm</x:v>
      </x:c>
      <x:c r="G7" s="10" t="str">
        <x:v>Nozzle ID</x:v>
      </x:c>
      <x:c r="H7" s="10" t="str">
        <x:v>Feeder slot</x:v>
      </x:c>
      <x:c r="I7" s="10" t="str">
        <x:v>Orientation checked</x:v>
      </x:c>
      <x:c r="J7" s="10" t="str">
        <x:v>Setup status</x:v>
      </x:c>
      <x:c r="K7" s="2"/>
    </x:row>
    <x:row r="8" ht="24" customHeight="1">
      <x:c r="A8" s="2" t="str">
        <x:v>74AUP1G07GW,125</x:v>
      </x:c>
      <x:c r="B8" s="2" t="str">
        <x:v>SOT-353</x:v>
      </x:c>
      <x:c r="C8" s="2" t="n">
        <x:v>1</x:v>
      </x:c>
      <x:c r="D8" s="2" t="str">
        <x:v>Tape/reel or continuous cut tape; verify carrier dimensions</x:v>
      </x:c>
      <x:c r="E8" s="5"/>
      <x:c r="F8" s="5"/>
      <x:c r="G8" s="5"/>
      <x:c r="H8" s="5"/>
      <x:c r="I8" s="5" t="str">
        <x:v>No</x:v>
      </x:c>
      <x:c r="J8" s="2" t="str">
        <x:f>IF(OR(E8="",F8="",G8="",H8="",I8&lt;&gt;"Yes"),"Setup incomplete","Setup recorded")</x:f>
        <x:v>Setup incomplete</x:v>
      </x:c>
      <x:c r="K8" s="2"/>
    </x:row>
    <x:row r="9" ht="24" customHeight="1">
      <x:c r="A9" s="2" t="str">
        <x:v>BM04B-GHS-TBT(LF)(SN)</x:v>
      </x:c>
      <x:c r="B9" s="2" t="str">
        <x:v>JST GH 4-pin vertical</x:v>
      </x:c>
      <x:c r="C9" s="2" t="n">
        <x:v>1</x:v>
      </x:c>
      <x:c r="D9" s="2" t="str">
        <x:v>Tape/reel or continuous cut tape; verify carrier dimensions</x:v>
      </x:c>
      <x:c r="E9" s="5"/>
      <x:c r="F9" s="5"/>
      <x:c r="G9" s="5"/>
      <x:c r="H9" s="5"/>
      <x:c r="I9" s="5" t="str">
        <x:v>No</x:v>
      </x:c>
      <x:c r="J9" s="2" t="str">
        <x:f>IF(OR(E9="",F9="",G9="",H9="",I9&lt;&gt;"Yes"),"Setup incomplete","Setup recorded")</x:f>
        <x:v>Setup incomplete</x:v>
      </x:c>
      <x:c r="K9" s="2"/>
    </x:row>
    <x:row r="10" ht="24" customHeight="1">
      <x:c r="A10" s="2" t="str">
        <x:v>C0603C104K4RACTU</x:v>
      </x:c>
      <x:c r="B10" s="2" t="str">
        <x:v>0603 (EIA)</x:v>
      </x:c>
      <x:c r="C10" s="2" t="n">
        <x:v>3</x:v>
      </x:c>
      <x:c r="D10" s="2" t="str">
        <x:v>Tape/reel or continuous cut tape; verify carrier dimensions</x:v>
      </x:c>
      <x:c r="E10" s="5"/>
      <x:c r="F10" s="5"/>
      <x:c r="G10" s="5"/>
      <x:c r="H10" s="5"/>
      <x:c r="I10" s="5" t="str">
        <x:v>No</x:v>
      </x:c>
      <x:c r="J10" s="2" t="str">
        <x:f>IF(OR(E10="",F10="",G10="",H10="",I10&lt;&gt;"Yes"),"Setup incomplete","Setup recorded")</x:f>
        <x:v>Setup incomplete</x:v>
      </x:c>
      <x:c r="K10" s="2"/>
    </x:row>
    <x:row r="11" ht="24" customHeight="1">
      <x:c r="A11" s="2" t="str">
        <x:v>C1608X7R1H104K080AA</x:v>
      </x:c>
      <x:c r="B11" s="2" t="str">
        <x:v>0603 (EIA)</x:v>
      </x:c>
      <x:c r="C11" s="2" t="n">
        <x:v>1</x:v>
      </x:c>
      <x:c r="D11" s="2" t="str">
        <x:v>Tape/reel or continuous cut tape; verify carrier dimensions</x:v>
      </x:c>
      <x:c r="E11" s="5"/>
      <x:c r="F11" s="5"/>
      <x:c r="G11" s="5"/>
      <x:c r="H11" s="5"/>
      <x:c r="I11" s="5" t="str">
        <x:v>No</x:v>
      </x:c>
      <x:c r="J11" s="2" t="str">
        <x:f>IF(OR(E11="",F11="",G11="",H11="",I11&lt;&gt;"Yes"),"Setup incomplete","Setup recorded")</x:f>
        <x:v>Setup incomplete</x:v>
      </x:c>
      <x:c r="K11" s="2"/>
    </x:row>
    <x:row r="12" ht="24" customHeight="1">
      <x:c r="A12" s="2" t="str">
        <x:v>C2012C0G2A562J125AA</x:v>
      </x:c>
      <x:c r="B12" s="2" t="str">
        <x:v>0805 (EIA)</x:v>
      </x:c>
      <x:c r="C12" s="2" t="n">
        <x:v>1</x:v>
      </x:c>
      <x:c r="D12" s="2" t="str">
        <x:v>Tape/reel or continuous cut tape; verify carrier dimensions</x:v>
      </x:c>
      <x:c r="E12" s="5"/>
      <x:c r="F12" s="5"/>
      <x:c r="G12" s="5"/>
      <x:c r="H12" s="5"/>
      <x:c r="I12" s="5" t="str">
        <x:v>No</x:v>
      </x:c>
      <x:c r="J12" s="2" t="str">
        <x:f>IF(OR(E12="",F12="",G12="",H12="",I12&lt;&gt;"Yes"),"Setup incomplete","Setup recorded")</x:f>
        <x:v>Setup incomplete</x:v>
      </x:c>
      <x:c r="K12" s="2"/>
    </x:row>
    <x:row r="13" ht="24" customHeight="1">
      <x:c r="A13" s="2" t="str">
        <x:v>C2012X7R1A106K125AC</x:v>
      </x:c>
      <x:c r="B13" s="2" t="str">
        <x:v>0805 (EIA)</x:v>
      </x:c>
      <x:c r="C13" s="2" t="n">
        <x:v>1</x:v>
      </x:c>
      <x:c r="D13" s="2" t="str">
        <x:v>Tape/reel or continuous cut tape; verify carrier dimensions</x:v>
      </x:c>
      <x:c r="E13" s="5"/>
      <x:c r="F13" s="5"/>
      <x:c r="G13" s="5"/>
      <x:c r="H13" s="5"/>
      <x:c r="I13" s="5" t="str">
        <x:v>No</x:v>
      </x:c>
      <x:c r="J13" s="2" t="str">
        <x:f>IF(OR(E13="",F13="",G13="",H13="",I13&lt;&gt;"Yes"),"Setup incomplete","Setup recorded")</x:f>
        <x:v>Setup incomplete</x:v>
      </x:c>
      <x:c r="K13" s="2"/>
    </x:row>
    <x:row r="14" ht="24" customHeight="1">
      <x:c r="A14" s="2" t="str">
        <x:v>C2012X7R1H105K125AB</x:v>
      </x:c>
      <x:c r="B14" s="2" t="str">
        <x:v>0805 (EIA)</x:v>
      </x:c>
      <x:c r="C14" s="2" t="n">
        <x:v>1</x:v>
      </x:c>
      <x:c r="D14" s="2" t="str">
        <x:v>Tape/reel or continuous cut tape; verify carrier dimensions</x:v>
      </x:c>
      <x:c r="E14" s="5"/>
      <x:c r="F14" s="5"/>
      <x:c r="G14" s="5"/>
      <x:c r="H14" s="5"/>
      <x:c r="I14" s="5" t="str">
        <x:v>No</x:v>
      </x:c>
      <x:c r="J14" s="2" t="str">
        <x:f>IF(OR(E14="",F14="",G14="",H14="",I14&lt;&gt;"Yes"),"Setup incomplete","Setup recorded")</x:f>
        <x:v>Setup incomplete</x:v>
      </x:c>
      <x:c r="K14" s="2"/>
    </x:row>
    <x:row r="15" ht="24" customHeight="1">
      <x:c r="A15" s="2" t="str">
        <x:v>C3216X7R1H106K160AC</x:v>
      </x:c>
      <x:c r="B15" s="2" t="str">
        <x:v>1206 (EIA)</x:v>
      </x:c>
      <x:c r="C15" s="2" t="n">
        <x:v>2</x:v>
      </x:c>
      <x:c r="D15" s="2" t="str">
        <x:v>Tape/reel or continuous cut tape; verify carrier dimensions</x:v>
      </x:c>
      <x:c r="E15" s="5"/>
      <x:c r="F15" s="5"/>
      <x:c r="G15" s="5"/>
      <x:c r="H15" s="5"/>
      <x:c r="I15" s="5" t="str">
        <x:v>No</x:v>
      </x:c>
      <x:c r="J15" s="2" t="str">
        <x:f>IF(OR(E15="",F15="",G15="",H15="",I15&lt;&gt;"Yes"),"Setup incomplete","Setup recorded")</x:f>
        <x:v>Setup incomplete</x:v>
      </x:c>
      <x:c r="K15" s="2"/>
    </x:row>
    <x:row r="16" ht="24" customHeight="1">
      <x:c r="A16" s="2" t="str">
        <x:v>FC4L64R005FER</x:v>
      </x:c>
      <x:c r="B16" s="2" t="str">
        <x:v>6432 4-terminal</x:v>
      </x:c>
      <x:c r="C16" s="2" t="n">
        <x:v>1</x:v>
      </x:c>
      <x:c r="D16" s="2" t="str">
        <x:v>Tape/reel or continuous cut tape; verify carrier dimensions</x:v>
      </x:c>
      <x:c r="E16" s="5"/>
      <x:c r="F16" s="5"/>
      <x:c r="G16" s="5"/>
      <x:c r="H16" s="5"/>
      <x:c r="I16" s="5" t="str">
        <x:v>No</x:v>
      </x:c>
      <x:c r="J16" s="2" t="str">
        <x:f>IF(OR(E16="",F16="",G16="",H16="",I16&lt;&gt;"Yes"),"Setup incomplete","Setup recorded")</x:f>
        <x:v>Setup incomplete</x:v>
      </x:c>
      <x:c r="K16" s="2"/>
    </x:row>
    <x:row r="17" ht="24" customHeight="1">
      <x:c r="A17" s="2" t="str">
        <x:v>INA228AIDGSR</x:v>
      </x:c>
      <x:c r="B17" s="2" t="str">
        <x:v>VSSOP-10</x:v>
      </x:c>
      <x:c r="C17" s="2" t="n">
        <x:v>1</x:v>
      </x:c>
      <x:c r="D17" s="2" t="str">
        <x:v>Tape/reel or continuous cut tape; verify carrier dimensions</x:v>
      </x:c>
      <x:c r="E17" s="5"/>
      <x:c r="F17" s="5"/>
      <x:c r="G17" s="5"/>
      <x:c r="H17" s="5"/>
      <x:c r="I17" s="5" t="str">
        <x:v>No</x:v>
      </x:c>
      <x:c r="J17" s="2" t="str">
        <x:f>IF(OR(E17="",F17="",G17="",H17="",I17&lt;&gt;"Yes"),"Setup incomplete","Setup recorded")</x:f>
        <x:v>Setup incomplete</x:v>
      </x:c>
      <x:c r="K17" s="2"/>
    </x:row>
    <x:row r="18" ht="24" customHeight="1">
      <x:c r="A18" s="2" t="str">
        <x:v>ISC015N06NM5LF2ATMA1</x:v>
      </x:c>
      <x:c r="B18" s="2" t="str">
        <x:v>TDSON-8 5x6 mm</x:v>
      </x:c>
      <x:c r="C18" s="2" t="n">
        <x:v>2</x:v>
      </x:c>
      <x:c r="D18" s="2" t="str">
        <x:v>Tape/reel or continuous cut tape; verify carrier dimensions</x:v>
      </x:c>
      <x:c r="E18" s="5"/>
      <x:c r="F18" s="5"/>
      <x:c r="G18" s="5"/>
      <x:c r="H18" s="5"/>
      <x:c r="I18" s="5" t="str">
        <x:v>No</x:v>
      </x:c>
      <x:c r="J18" s="2" t="str">
        <x:f>IF(OR(E18="",F18="",G18="",H18="",I18&lt;&gt;"Yes"),"Setup incomplete","Setup recorded")</x:f>
        <x:v>Setup incomplete</x:v>
      </x:c>
      <x:c r="K18" s="2"/>
    </x:row>
    <x:row r="19" ht="24" customHeight="1">
      <x:c r="A19" s="2" t="str">
        <x:v>LTC4368IMS-1#TRPBF</x:v>
      </x:c>
      <x:c r="B19" s="2" t="str">
        <x:v>MSOP-10</x:v>
      </x:c>
      <x:c r="C19" s="2" t="n">
        <x:v>1</x:v>
      </x:c>
      <x:c r="D19" s="2" t="str">
        <x:v>Tape/reel or continuous cut tape; verify carrier dimensions</x:v>
      </x:c>
      <x:c r="E19" s="5"/>
      <x:c r="F19" s="5"/>
      <x:c r="G19" s="5"/>
      <x:c r="H19" s="5"/>
      <x:c r="I19" s="5" t="str">
        <x:v>No</x:v>
      </x:c>
      <x:c r="J19" s="2" t="str">
        <x:f>IF(OR(E19="",F19="",G19="",H19="",I19&lt;&gt;"Yes"),"Setup incomplete","Setup recorded")</x:f>
        <x:v>Setup incomplete</x:v>
      </x:c>
      <x:c r="K19" s="2"/>
    </x:row>
    <x:row r="20" ht="24" customHeight="1">
      <x:c r="A20" s="2" t="str">
        <x:v>MBR0540T1G</x:v>
      </x:c>
      <x:c r="B20" s="2" t="str">
        <x:v>SOD-123</x:v>
      </x:c>
      <x:c r="C20" s="2" t="n">
        <x:v>2</x:v>
      </x:c>
      <x:c r="D20" s="2" t="str">
        <x:v>Tape/reel or continuous cut tape; verify carrier dimensions</x:v>
      </x:c>
      <x:c r="E20" s="5"/>
      <x:c r="F20" s="5"/>
      <x:c r="G20" s="5"/>
      <x:c r="H20" s="5"/>
      <x:c r="I20" s="5" t="str">
        <x:v>No</x:v>
      </x:c>
      <x:c r="J20" s="2" t="str">
        <x:f>IF(OR(E20="",F20="",G20="",H20="",I20&lt;&gt;"Yes"),"Setup incomplete","Setup recorded")</x:f>
        <x:v>Setup incomplete</x:v>
      </x:c>
      <x:c r="K20" s="2"/>
    </x:row>
    <x:row r="21" ht="24" customHeight="1">
      <x:c r="A21" s="2" t="str">
        <x:v>RC0805FR-0710RL</x:v>
      </x:c>
      <x:c r="B21" s="2" t="str">
        <x:v>0805 (EIA)</x:v>
      </x:c>
      <x:c r="C21" s="2" t="n">
        <x:v>2</x:v>
      </x:c>
      <x:c r="D21" s="2" t="str">
        <x:v>Tape/reel or continuous cut tape; verify carrier dimensions</x:v>
      </x:c>
      <x:c r="E21" s="5"/>
      <x:c r="F21" s="5"/>
      <x:c r="G21" s="5"/>
      <x:c r="H21" s="5"/>
      <x:c r="I21" s="5" t="str">
        <x:v>No</x:v>
      </x:c>
      <x:c r="J21" s="2" t="str">
        <x:f>IF(OR(E21="",F21="",G21="",H21="",I21&lt;&gt;"Yes"),"Setup incomplete","Setup recorded")</x:f>
        <x:v>Setup incomplete</x:v>
      </x:c>
      <x:c r="K21" s="2"/>
    </x:row>
    <x:row r="22" ht="24" customHeight="1">
      <x:c r="A22" s="2" t="str">
        <x:v>RC0805FR-07200KL</x:v>
      </x:c>
      <x:c r="B22" s="2" t="str">
        <x:v>0805 (EIA)</x:v>
      </x:c>
      <x:c r="C22" s="2" t="n">
        <x:v>1</x:v>
      </x:c>
      <x:c r="D22" s="2" t="str">
        <x:v>Tape/reel or continuous cut tape; verify carrier dimensions</x:v>
      </x:c>
      <x:c r="E22" s="5"/>
      <x:c r="F22" s="5"/>
      <x:c r="G22" s="5"/>
      <x:c r="H22" s="5"/>
      <x:c r="I22" s="5" t="str">
        <x:v>No</x:v>
      </x:c>
      <x:c r="J22" s="2" t="str">
        <x:f>IF(OR(E22="",F22="",G22="",H22="",I22&lt;&gt;"Yes"),"Setup incomplete","Setup recorded")</x:f>
        <x:v>Setup incomplete</x:v>
      </x:c>
      <x:c r="K22" s="2"/>
    </x:row>
    <x:row r="23" ht="24" customHeight="1">
      <x:c r="A23" s="2" t="str">
        <x:v>RC0805FR-0722KL</x:v>
      </x:c>
      <x:c r="B23" s="2" t="str">
        <x:v>0805 (EIA)</x:v>
      </x:c>
      <x:c r="C23" s="2" t="n">
        <x:v>1</x:v>
      </x:c>
      <x:c r="D23" s="2" t="str">
        <x:v>Tape/reel or continuous cut tape; verify carrier dimensions</x:v>
      </x:c>
      <x:c r="E23" s="5"/>
      <x:c r="F23" s="5"/>
      <x:c r="G23" s="5"/>
      <x:c r="H23" s="5"/>
      <x:c r="I23" s="5" t="str">
        <x:v>No</x:v>
      </x:c>
      <x:c r="J23" s="2" t="str">
        <x:f>IF(OR(E23="",F23="",G23="",H23="",I23&lt;&gt;"Yes"),"Setup incomplete","Setup recorded")</x:f>
        <x:v>Setup incomplete</x:v>
      </x:c>
      <x:c r="K23" s="2"/>
    </x:row>
    <x:row r="24" ht="24" customHeight="1">
      <x:c r="A24" s="2" t="str">
        <x:v>RC0805FR-072ML</x:v>
      </x:c>
      <x:c r="B24" s="2" t="str">
        <x:v>0805 (EIA)</x:v>
      </x:c>
      <x:c r="C24" s="2" t="n">
        <x:v>1</x:v>
      </x:c>
      <x:c r="D24" s="2" t="str">
        <x:v>Tape/reel or continuous cut tape; verify carrier dimensions</x:v>
      </x:c>
      <x:c r="E24" s="5"/>
      <x:c r="F24" s="5"/>
      <x:c r="G24" s="5"/>
      <x:c r="H24" s="5"/>
      <x:c r="I24" s="5" t="str">
        <x:v>No</x:v>
      </x:c>
      <x:c r="J24" s="2" t="str">
        <x:f>IF(OR(E24="",F24="",G24="",H24="",I24&lt;&gt;"Yes"),"Setup incomplete","Setup recorded")</x:f>
        <x:v>Setup incomplete</x:v>
      </x:c>
      <x:c r="K24" s="2"/>
    </x:row>
    <x:row r="25" ht="24" customHeight="1">
      <x:c r="A25" s="2" t="str">
        <x:v>RC0805FR-0743K2L</x:v>
      </x:c>
      <x:c r="B25" s="2" t="str">
        <x:v>0805 (EIA)</x:v>
      </x:c>
      <x:c r="C25" s="2" t="n">
        <x:v>1</x:v>
      </x:c>
      <x:c r="D25" s="2" t="str">
        <x:v>Tape/reel or continuous cut tape; verify carrier dimensions</x:v>
      </x:c>
      <x:c r="E25" s="5"/>
      <x:c r="F25" s="5"/>
      <x:c r="G25" s="5"/>
      <x:c r="H25" s="5"/>
      <x:c r="I25" s="5" t="str">
        <x:v>No</x:v>
      </x:c>
      <x:c r="J25" s="2" t="str">
        <x:f>IF(OR(E25="",F25="",G25="",H25="",I25&lt;&gt;"Yes"),"Setup incomplete","Setup recorded")</x:f>
        <x:v>Setup incomplete</x:v>
      </x:c>
      <x:c r="K25" s="2"/>
    </x:row>
    <x:row r="26" ht="24" customHeight="1">
      <x:c r="A26" s="2" t="str">
        <x:v>RC0805FR-074K7L</x:v>
      </x:c>
      <x:c r="B26" s="2" t="str">
        <x:v>0805 (EIA)</x:v>
      </x:c>
      <x:c r="C26" s="2" t="n">
        <x:v>1</x:v>
      </x:c>
      <x:c r="D26" s="2" t="str">
        <x:v>Tape/reel or continuous cut tape; verify carrier dimensions</x:v>
      </x:c>
      <x:c r="E26" s="5"/>
      <x:c r="F26" s="5"/>
      <x:c r="G26" s="5"/>
      <x:c r="H26" s="5"/>
      <x:c r="I26" s="5" t="str">
        <x:v>No</x:v>
      </x:c>
      <x:c r="J26" s="2" t="str">
        <x:f>IF(OR(E26="",F26="",G26="",H26="",I26&lt;&gt;"Yes"),"Setup incomplete","Setup recorded")</x:f>
        <x:v>Setup incomplete</x:v>
      </x:c>
      <x:c r="K26" s="2"/>
    </x:row>
    <x:row r="27" ht="24" customHeight="1">
      <x:c r="A27" s="2" t="str">
        <x:v>RC0805FR-0756K2L</x:v>
      </x:c>
      <x:c r="B27" s="2" t="str">
        <x:v>0805 (EIA)</x:v>
      </x:c>
      <x:c r="C27" s="2" t="n">
        <x:v>1</x:v>
      </x:c>
      <x:c r="D27" s="2" t="str">
        <x:v>Tape/reel or continuous cut tape; verify carrier dimensions</x:v>
      </x:c>
      <x:c r="E27" s="5"/>
      <x:c r="F27" s="5"/>
      <x:c r="G27" s="5"/>
      <x:c r="H27" s="5"/>
      <x:c r="I27" s="5" t="str">
        <x:v>No</x:v>
      </x:c>
      <x:c r="J27" s="2" t="str">
        <x:f>IF(OR(E27="",F27="",G27="",H27="",I27&lt;&gt;"Yes"),"Setup incomplete","Setup recorded")</x:f>
        <x:v>Setup incomplete</x:v>
      </x:c>
      <x:c r="K27" s="2"/>
    </x:row>
    <x:row r="28" ht="24" customHeight="1">
      <x:c r="A28" s="2" t="str">
        <x:v>RC0805FR-07680KL</x:v>
      </x:c>
      <x:c r="B28" s="2" t="str">
        <x:v>0805 (EIA)</x:v>
      </x:c>
      <x:c r="C28" s="2" t="n">
        <x:v>1</x:v>
      </x:c>
      <x:c r="D28" s="2" t="str">
        <x:v>Tape/reel or continuous cut tape; verify carrier dimensions</x:v>
      </x:c>
      <x:c r="E28" s="5"/>
      <x:c r="F28" s="5"/>
      <x:c r="G28" s="5"/>
      <x:c r="H28" s="5"/>
      <x:c r="I28" s="5" t="str">
        <x:v>No</x:v>
      </x:c>
      <x:c r="J28" s="2" t="str">
        <x:f>IF(OR(E28="",F28="",G28="",H28="",I28&lt;&gt;"Yes"),"Setup incomplete","Setup recorded")</x:f>
        <x:v>Setup incomplete</x:v>
      </x:c>
      <x:c r="K28" s="2"/>
    </x:row>
    <x:row r="29" ht="24" customHeight="1">
      <x:c r="A29" s="2" t="str">
        <x:v>SMAJ24CA</x:v>
      </x:c>
      <x:c r="B29" s="2" t="str">
        <x:v>SMA</x:v>
      </x:c>
      <x:c r="C29" s="2" t="n">
        <x:v>1</x:v>
      </x:c>
      <x:c r="D29" s="2" t="str">
        <x:v>Tape/reel or continuous cut tape; verify carrier dimensions</x:v>
      </x:c>
      <x:c r="E29" s="5"/>
      <x:c r="F29" s="5"/>
      <x:c r="G29" s="5"/>
      <x:c r="H29" s="5"/>
      <x:c r="I29" s="5" t="str">
        <x:v>No</x:v>
      </x:c>
      <x:c r="J29" s="2" t="str">
        <x:f>IF(OR(E29="",F29="",G29="",H29="",I29&lt;&gt;"Yes"),"Setup incomplete","Setup recorded")</x:f>
        <x:v>Setup incomplete</x:v>
      </x:c>
      <x:c r="K29" s="2"/>
    </x:row>
    <x:row r="30" ht="24" customHeight="1">
      <x:c r="A30" s="2" t="str">
        <x:v>TPS7A1633DGNR</x:v>
      </x:c>
      <x:c r="B30" s="2" t="str">
        <x:v>MSOP-8 exposed pad</x:v>
      </x:c>
      <x:c r="C30" s="2" t="n">
        <x:v>1</x:v>
      </x:c>
      <x:c r="D30" s="2" t="str">
        <x:v>Tape/reel or continuous cut tape; verify carrier dimensions</x:v>
      </x:c>
      <x:c r="E30" s="5"/>
      <x:c r="F30" s="5"/>
      <x:c r="G30" s="5"/>
      <x:c r="H30" s="5"/>
      <x:c r="I30" s="5" t="str">
        <x:v>No</x:v>
      </x:c>
      <x:c r="J30" s="2" t="str">
        <x:f>IF(OR(E30="",F30="",G30="",H30="",I30&lt;&gt;"Yes"),"Setup incomplete","Setup recorded")</x:f>
        <x:v>Setup incomplete</x:v>
      </x:c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</x:sheetData>
  <x:conditionalFormatting sqref="J8:J30">
    <x:cfRule type="containsText" dxfId="2" priority="1" operator="containsText" text="incomplete"/>
  </x:conditionalFormatting>
  <x:dataValidations count="1">
    <x:dataValidation type="list" sqref="I8:I30">
      <x:formula1>"No,Yes"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20" hidden="0" customWidth="1"/>
    <x:col min="5" max="5" width="86" hidden="0" customWidth="1"/>
    <x:col min="6" max="6" width="125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Frozen nominal part specifications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2" t="str">
        <x:v>Nominal electrical values and footprints are unchanged. Full resistor and semiconductor order codes were added for procurement.</x:v>
      </x:c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6" customHeight="1">
      <x:c r="A6" s="10" t="str">
        <x:v>Manufacturer part number</x:v>
      </x:c>
      <x:c r="B6" s="10" t="str">
        <x:v>Manufacturer</x:v>
      </x:c>
      <x:c r="C6" s="10" t="str">
        <x:v>Value</x:v>
      </x:c>
      <x:c r="D6" s="10" t="str">
        <x:v>PDB refs</x:v>
      </x:c>
      <x:c r="E6" s="10" t="str">
        <x:v>Footprint</x:v>
      </x:c>
      <x:c r="F6" s="10" t="str">
        <x:v>Source</x:v>
      </x:c>
      <x:c r="G6" s="2"/>
    </x:row>
    <x:row r="7" ht="24" customHeight="1">
      <x:c r="A7" s="2" t="str">
        <x:v>0297004.WXNV</x:v>
      </x:c>
      <x:c r="B7" s="2" t="str">
        <x:v>Littelfuse</x:v>
      </x:c>
      <x:c r="C7" s="2" t="str">
        <x:v>4A MINI</x:v>
      </x:c>
      <x:c r="D7" s="2" t="str">
        <x:v>F1</x:v>
      </x:c>
      <x:c r="E7" s="2" t="str">
        <x:v>Fuse:Fuseholder_Blade_Mini_Keystone_3568</x:v>
      </x:c>
      <x:c r="F7" s="2" t="str">
        <x:v>${KIPRJMOD}/Datasheets/Littelfuse_297_MINI.pdf</x:v>
      </x:c>
      <x:c r="G7" s="2"/>
    </x:row>
    <x:row r="8" ht="24" customHeight="1">
      <x:c r="A8" s="2" t="str">
        <x:v>74AUP1G07GW,125</x:v>
      </x:c>
      <x:c r="B8" s="2" t="str">
        <x:v>Nexperia</x:v>
      </x:c>
      <x:c r="C8" s="2" t="str">
        <x:v>74AUP1G07GW</x:v>
      </x:c>
      <x:c r="D8" s="2" t="str">
        <x:v>U4</x:v>
      </x:c>
      <x:c r="E8" s="2" t="str">
        <x:v>Package_TO_SOT_SMD:SOT-353_SC-70-5</x:v>
      </x:c>
      <x:c r="F8" s="2" t="str">
        <x:v>${KIPRJMOD}/Datasheets/Nexperia_74AUP1G07.pdf</x:v>
      </x:c>
      <x:c r="G8" s="2"/>
    </x:row>
    <x:row r="9" ht="24" customHeight="1">
      <x:c r="A9" s="2" t="str">
        <x:v>BM04B-GHS-TBT(LF)(SN)</x:v>
      </x:c>
      <x:c r="B9" s="2" t="str">
        <x:v>JST</x:v>
      </x:c>
      <x:c r="C9" s="2" t="str">
        <x:v>OSIRIS_I2C</x:v>
      </x:c>
      <x:c r="D9" s="2" t="str">
        <x:v>J2</x:v>
      </x:c>
      <x:c r="E9" s="2" t="str">
        <x:v>Connector_JST:JST_GH_BM04B-GHS-TBT_1x04-1MP_P1.25mm_Vertical</x:v>
      </x:c>
      <x:c r="F9" s="2" t="str">
        <x:v>${KIPRJMOD}/Datasheets/JST_GH.pdf</x:v>
      </x:c>
      <x:c r="G9" s="2"/>
    </x:row>
    <x:row r="10" ht="24" customHeight="1">
      <x:c r="A10" s="2" t="str">
        <x:v>C0603C104K4RACTU</x:v>
      </x:c>
      <x:c r="B10" s="2" t="str">
        <x:v>KEMET</x:v>
      </x:c>
      <x:c r="C10" s="2" t="str">
        <x:v>100n</x:v>
      </x:c>
      <x:c r="D10" s="2" t="str">
        <x:v>C3, C5, C8</x:v>
      </x:c>
      <x:c r="E10" s="2" t="str">
        <x:v>Capacitor_SMD:C_0603_1608Metric</x:v>
      </x:c>
      <x:c r="F10" s="2" t="str">
        <x:v>${KIPRJMOD}/Datasheets/KEMET_C0603C104K4RACTU.pdf</x:v>
      </x:c>
      <x:c r="G10" s="2"/>
    </x:row>
    <x:row r="11" ht="24" customHeight="1">
      <x:c r="A11" s="2" t="str">
        <x:v>C1608X7R1H104K080AA</x:v>
      </x:c>
      <x:c r="B11" s="2" t="str">
        <x:v>TDK</x:v>
      </x:c>
      <x:c r="C11" s="2" t="str">
        <x:v>100n</x:v>
      </x:c>
      <x:c r="D11" s="2" t="str">
        <x:v>C7</x:v>
      </x:c>
      <x:c r="E11" s="2" t="str">
        <x:v>Capacitor_SMD:C_0603_1608Metric</x:v>
      </x:c>
      <x:c r="F11" s="2" t="str">
        <x:v>https://product.tdk.com/en/search/capacitor/ceramic/mlcc/info?part_no=C1608X7R1H104K080AA</x:v>
      </x:c>
      <x:c r="G11" s="2"/>
    </x:row>
    <x:row r="12" ht="24" customHeight="1">
      <x:c r="A12" s="2" t="str">
        <x:v>C2012C0G2A562J125AA</x:v>
      </x:c>
      <x:c r="B12" s="2" t="str">
        <x:v>TDK</x:v>
      </x:c>
      <x:c r="C12" s="2" t="str">
        <x:v>5n6</x:v>
      </x:c>
      <x:c r="D12" s="2" t="str">
        <x:v>C1</x:v>
      </x:c>
      <x:c r="E12" s="2" t="str">
        <x:v>Capacitor_SMD:C_0805_2012Metric</x:v>
      </x:c>
      <x:c r="F12" s="2" t="str">
        <x:v>https://product.tdk.com/en/search/capacitor/ceramic/mlcc/info?part_no=C2012C0G2A562J125AA</x:v>
      </x:c>
      <x:c r="G12" s="2"/>
    </x:row>
    <x:row r="13" ht="24" customHeight="1">
      <x:c r="A13" s="2" t="str">
        <x:v>C2012X7R1A106K125AC</x:v>
      </x:c>
      <x:c r="B13" s="2" t="str">
        <x:v>TDK</x:v>
      </x:c>
      <x:c r="C13" s="2" t="str">
        <x:v>10u</x:v>
      </x:c>
      <x:c r="D13" s="2" t="str">
        <x:v>C6</x:v>
      </x:c>
      <x:c r="E13" s="2" t="str">
        <x:v>Capacitor_SMD:C_0805_2012Metric</x:v>
      </x:c>
      <x:c r="F13" s="2" t="str">
        <x:v>https://product.tdk.com/en/search/capacitor/ceramic/mlcc/info?part_no=C2012X7R1A106K125AC</x:v>
      </x:c>
      <x:c r="G13" s="2"/>
    </x:row>
    <x:row r="14" ht="24" customHeight="1">
      <x:c r="A14" s="2" t="str">
        <x:v>C2012X7R1H105K125AB</x:v>
      </x:c>
      <x:c r="B14" s="2" t="str">
        <x:v>TDK</x:v>
      </x:c>
      <x:c r="C14" s="2" t="str">
        <x:v>1U0</x:v>
      </x:c>
      <x:c r="D14" s="2" t="str">
        <x:v>C2</x:v>
      </x:c>
      <x:c r="E14" s="2" t="str">
        <x:v>Capacitor_SMD:C_0805_2012Metric</x:v>
      </x:c>
      <x:c r="F14" s="2" t="str">
        <x:v>https://product.tdk.com/en/search/capacitor/ceramic/mlcc/info?part_no=C2012X7R1H105K125AB</x:v>
      </x:c>
      <x:c r="G14" s="2"/>
    </x:row>
    <x:row r="15" ht="24" customHeight="1">
      <x:c r="A15" s="2" t="str">
        <x:v>C3216X7R1H106K160AC</x:v>
      </x:c>
      <x:c r="B15" s="2" t="str">
        <x:v>TDK</x:v>
      </x:c>
      <x:c r="C15" s="2" t="str">
        <x:v>10u</x:v>
      </x:c>
      <x:c r="D15" s="2" t="str">
        <x:v>C4, C9</x:v>
      </x:c>
      <x:c r="E15" s="2" t="str">
        <x:v>Capacitor_SMD:C_1206_3216Metric</x:v>
      </x:c>
      <x:c r="F15" s="2" t="str">
        <x:v>https://product.tdk.com/en/search/capacitor/ceramic/mlcc/info?part_no=C3216X7R1H106K160AC</x:v>
      </x:c>
      <x:c r="G15" s="2"/>
    </x:row>
    <x:row r="16" ht="24" customHeight="1">
      <x:c r="A16" s="2" t="str">
        <x:v>FC4L64R005FER</x:v>
      </x:c>
      <x:c r="B16" s="2" t="str">
        <x:v>Ohmite</x:v>
      </x:c>
      <x:c r="C16" s="2" t="str">
        <x:v>FC4L64R005FER</x:v>
      </x:c>
      <x:c r="D16" s="2" t="str">
        <x:v>R5</x:v>
      </x:c>
      <x:c r="E16" s="2" t="str">
        <x:v>PDB_Footprints:OH_FC4L64_OHM</x:v>
      </x:c>
      <x:c r="F16" s="2" t="str">
        <x:v>https://www.ohmite.com/res-fc4l/</x:v>
      </x:c>
      <x:c r="G16" s="2"/>
    </x:row>
    <x:row r="17" ht="24" customHeight="1">
      <x:c r="A17" s="2" t="str">
        <x:v>INA228AIDGSR</x:v>
      </x:c>
      <x:c r="B17" s="2" t="str">
        <x:v>Texas Instruments</x:v>
      </x:c>
      <x:c r="C17" s="2" t="str">
        <x:v>INA228AIDGSR</x:v>
      </x:c>
      <x:c r="D17" s="2" t="str">
        <x:v>U2</x:v>
      </x:c>
      <x:c r="E17" s="2" t="str">
        <x:v>PDB_Footprints:VSSOP10_DGS_TEX</x:v>
      </x:c>
      <x:c r="F17" s="2" t="str">
        <x:v>${KIPRJMOD}/Datasheets/INA228.pdf</x:v>
      </x:c>
      <x:c r="G17" s="2"/>
    </x:row>
    <x:row r="18" ht="24" customHeight="1">
      <x:c r="A18" s="2" t="str">
        <x:v>ISC015N06NM5LF2ATMA1</x:v>
      </x:c>
      <x:c r="B18" s="2" t="str">
        <x:v>Infineon</x:v>
      </x:c>
      <x:c r="C18" s="2" t="str">
        <x:v>ISC015N06NM5LF2</x:v>
      </x:c>
      <x:c r="D18" s="2" t="str">
        <x:v>Q1, Q2</x:v>
      </x:c>
      <x:c r="E18" s="2" t="str">
        <x:v>PDB_Footprints:ISC015N06NM5LF2_TDSON8FL</x:v>
      </x:c>
      <x:c r="F18" s="2" t="str">
        <x:v>${KIPRJMOD}/Datasheets/Datasheet ISC015N06NM5LF2.pdf</x:v>
      </x:c>
      <x:c r="G18" s="2"/>
    </x:row>
    <x:row r="19" ht="24" customHeight="1">
      <x:c r="A19" s="2" t="str">
        <x:v>LTC4368IMS-1#TRPBF</x:v>
      </x:c>
      <x:c r="B19" s="2" t="str">
        <x:v>Analog Devices</x:v>
      </x:c>
      <x:c r="C19" s="2" t="str">
        <x:v>LTC4368IMS-1-PBF</x:v>
      </x:c>
      <x:c r="D19" s="2" t="str">
        <x:v>U1</x:v>
      </x:c>
      <x:c r="E19" s="2" t="str">
        <x:v>PDB_Footprints:MS_10-MSOP_ADI</x:v>
      </x:c>
      <x:c r="F19" s="2" t="str">
        <x:v>${KIPRJMOD}/Datasheets/LTC4368 (Rev C).pdf</x:v>
      </x:c>
      <x:c r="G19" s="2"/>
    </x:row>
    <x:row r="20" ht="24" customHeight="1">
      <x:c r="A20" s="2" t="str">
        <x:v>MBR0540T1G</x:v>
      </x:c>
      <x:c r="B20" s="2" t="str">
        <x:v>onsemi</x:v>
      </x:c>
      <x:c r="C20" s="2" t="str">
        <x:v>MBR0540</x:v>
      </x:c>
      <x:c r="D20" s="2" t="str">
        <x:v>D2, D3</x:v>
      </x:c>
      <x:c r="E20" s="2" t="str">
        <x:v>Diode_SMD:D_SOD-123</x:v>
      </x:c>
      <x:c r="F20" s="2" t="str">
        <x:v>${KIPRJMOD}/Datasheets/onsemi_MBR0540.pdf</x:v>
      </x:c>
      <x:c r="G20" s="2"/>
    </x:row>
    <x:row r="21" ht="24" customHeight="1">
      <x:c r="A21" s="2" t="str">
        <x:v>RC0805FR-0710RL</x:v>
      </x:c>
      <x:c r="B21" s="2" t="str">
        <x:v>YAGEO</x:v>
      </x:c>
      <x:c r="C21" s="2" t="str">
        <x:v>10</x:v>
      </x:c>
      <x:c r="D21" s="2" t="str">
        <x:v>R8, R9</x:v>
      </x:c>
      <x:c r="E21" s="2" t="str">
        <x:v>Resistor_SMD:R_0805_2012Metric</x:v>
      </x:c>
      <x:c r="F21" s="2" t="str">
        <x:v>https://yageogroup.com/component-documentation/download/specsheet/RC0805FR-0710RL</x:v>
      </x:c>
      <x:c r="G21" s="2"/>
    </x:row>
    <x:row r="22" ht="24" customHeight="1">
      <x:c r="A22" s="2" t="str">
        <x:v>RC0805FR-07200KL</x:v>
      </x:c>
      <x:c r="B22" s="2" t="str">
        <x:v>YAGEO</x:v>
      </x:c>
      <x:c r="C22" s="2" t="str">
        <x:v>200k</x:v>
      </x:c>
      <x:c r="D22" s="2" t="str">
        <x:v>R7</x:v>
      </x:c>
      <x:c r="E22" s="2" t="str">
        <x:v>Resistor_SMD:R_0805_2012Metric</x:v>
      </x:c>
      <x:c r="F22" s="2" t="str">
        <x:v>https://yageogroup.com/component-documentation/download/specsheet/RC0805FR-07200KL</x:v>
      </x:c>
      <x:c r="G22" s="2"/>
    </x:row>
    <x:row r="23" ht="24" customHeight="1">
      <x:c r="A23" s="2" t="str">
        <x:v>RC0805FR-0722KL</x:v>
      </x:c>
      <x:c r="B23" s="2" t="str">
        <x:v>YAGEO</x:v>
      </x:c>
      <x:c r="C23" s="2" t="str">
        <x:v>22k</x:v>
      </x:c>
      <x:c r="D23" s="2" t="str">
        <x:v>R4</x:v>
      </x:c>
      <x:c r="E23" s="2" t="str">
        <x:v>Resistor_SMD:R_0805_2012Metric</x:v>
      </x:c>
      <x:c r="F23" s="2" t="str">
        <x:v>https://yageogroup.com/component-documentation/download/specsheet/RC0805FR-0722KL</x:v>
      </x:c>
      <x:c r="G23" s="2"/>
    </x:row>
    <x:row r="24" ht="24" customHeight="1">
      <x:c r="A24" s="2" t="str">
        <x:v>RC0805FR-072ML</x:v>
      </x:c>
      <x:c r="B24" s="2" t="str">
        <x:v>YAGEO</x:v>
      </x:c>
      <x:c r="C24" s="2" t="str">
        <x:v>2M0</x:v>
      </x:c>
      <x:c r="D24" s="2" t="str">
        <x:v>R1</x:v>
      </x:c>
      <x:c r="E24" s="2" t="str">
        <x:v>Resistor_SMD:R_0805_2012Metric</x:v>
      </x:c>
      <x:c r="F24" s="2" t="str">
        <x:v>https://yageogroup.com/component-documentation/download/specsheet/RC0805FR-072ML</x:v>
      </x:c>
      <x:c r="G24" s="2"/>
    </x:row>
    <x:row r="25" ht="24" customHeight="1">
      <x:c r="A25" s="2" t="str">
        <x:v>RC0805FR-0743K2L</x:v>
      </x:c>
      <x:c r="B25" s="2" t="str">
        <x:v>YAGEO</x:v>
      </x:c>
      <x:c r="C25" s="2" t="str">
        <x:v>43k2</x:v>
      </x:c>
      <x:c r="D25" s="2" t="str">
        <x:v>R2</x:v>
      </x:c>
      <x:c r="E25" s="2" t="str">
        <x:v>Resistor_SMD:R_0805_2012Metric</x:v>
      </x:c>
      <x:c r="F25" s="2" t="str">
        <x:v>https://yageogroup.com/component-documentation/download/specsheet/RC0805FR-0743K2L</x:v>
      </x:c>
      <x:c r="G25" s="2"/>
    </x:row>
    <x:row r="26" ht="24" customHeight="1">
      <x:c r="A26" s="2" t="str">
        <x:v>RC0805FR-074K7L</x:v>
      </x:c>
      <x:c r="B26" s="2" t="str">
        <x:v>YAGEO</x:v>
      </x:c>
      <x:c r="C26" s="2" t="str">
        <x:v>4k7</x:v>
      </x:c>
      <x:c r="D26" s="2" t="str">
        <x:v>R10</x:v>
      </x:c>
      <x:c r="E26" s="2" t="str">
        <x:v>Resistor_SMD:R_0805_2012Metric</x:v>
      </x:c>
      <x:c r="F26" s="2" t="str">
        <x:v>https://yageogroup.com/component-documentation/download/specsheet/RC0805FR-074K7L</x:v>
      </x:c>
      <x:c r="G26" s="2"/>
    </x:row>
    <x:row r="27" ht="24" customHeight="1">
      <x:c r="A27" s="2" t="str">
        <x:v>RC0805FR-0756K2L</x:v>
      </x:c>
      <x:c r="B27" s="2" t="str">
        <x:v>YAGEO</x:v>
      </x:c>
      <x:c r="C27" s="2" t="str">
        <x:v>56k2</x:v>
      </x:c>
      <x:c r="D27" s="2" t="str">
        <x:v>R3</x:v>
      </x:c>
      <x:c r="E27" s="2" t="str">
        <x:v>Resistor_SMD:R_0805_2012Metric</x:v>
      </x:c>
      <x:c r="F27" s="2" t="str">
        <x:v>https://yageogroup.com/component-documentation/download/specsheet/RC0805FR-0756K2L</x:v>
      </x:c>
      <x:c r="G27" s="2"/>
    </x:row>
    <x:row r="28" ht="24" customHeight="1">
      <x:c r="A28" s="2" t="str">
        <x:v>RC0805FR-07680KL</x:v>
      </x:c>
      <x:c r="B28" s="2" t="str">
        <x:v>YAGEO</x:v>
      </x:c>
      <x:c r="C28" s="2" t="str">
        <x:v>680k</x:v>
      </x:c>
      <x:c r="D28" s="2" t="str">
        <x:v>R6</x:v>
      </x:c>
      <x:c r="E28" s="2" t="str">
        <x:v>Resistor_SMD:R_0805_2012Metric</x:v>
      </x:c>
      <x:c r="F28" s="2" t="str">
        <x:v>https://yageogroup.com/component-documentation/download/specsheet/RC0805FR-07680KL</x:v>
      </x:c>
      <x:c r="G28" s="2"/>
    </x:row>
    <x:row r="29" ht="24" customHeight="1">
      <x:c r="A29" s="2" t="str">
        <x:v>SMAJ24CA</x:v>
      </x:c>
      <x:c r="B29" s="2" t="str">
        <x:v>Bourns</x:v>
      </x:c>
      <x:c r="C29" s="2" t="str">
        <x:v>SMAJ24CA</x:v>
      </x:c>
      <x:c r="D29" s="2" t="str">
        <x:v>D1</x:v>
      </x:c>
      <x:c r="E29" s="2" t="str">
        <x:v>Diode_SMD:D_SMA</x:v>
      </x:c>
      <x:c r="F29" s="2" t="str">
        <x:v>${KIPRJMOD}/Datasheets/Bourns_SMAJ_TVS.pdf</x:v>
      </x:c>
      <x:c r="G29" s="2"/>
    </x:row>
    <x:row r="30" ht="24" customHeight="1">
      <x:c r="A30" s="2" t="str">
        <x:v>TPS7A1633DGNR</x:v>
      </x:c>
      <x:c r="B30" s="2" t="str">
        <x:v>Texas Instruments</x:v>
      </x:c>
      <x:c r="C30" s="2" t="str">
        <x:v>TPS7A1633DGNR</x:v>
      </x:c>
      <x:c r="D30" s="2" t="str">
        <x:v>U3</x:v>
      </x:c>
      <x:c r="E30" s="2" t="str">
        <x:v>PDB_Footprints:DGN0008C_N</x:v>
      </x:c>
      <x:c r="F30" s="2" t="str">
        <x:v>${KIPRJMOD}/Datasheets/TPS7A16.pdf</x:v>
      </x:c>
      <x:c r="G30" s="2"/>
    </x:row>
    <x:row r="31" ht="24" customHeight="1">
      <x:c r="A31" s="2" t="str">
        <x:v>3568</x:v>
      </x:c>
      <x:c r="B31" s="2" t="str">
        <x:v>Keystone Electronics</x:v>
      </x:c>
      <x:c r="C31" s="2" t="str">
        <x:v>MINI fuse holder</x:v>
      </x:c>
      <x:c r="D31" s="2" t="str">
        <x:v>F1-holder</x:v>
      </x:c>
      <x:c r="E31" s="2" t="str">
        <x:v>Fuse:Fuseholder_Blade_Mini_Keystone_3568</x:v>
      </x:c>
      <x:c r="F31" s="2" t="str">
        <x:v>${KIPRJMOD}/Datasheets/Keystone_3568.pdf</x:v>
      </x:c>
      <x:c r="G31" s="2"/>
    </x:row>
    <x:row r="32" ht="24" customHeight="1">
      <x:c r="A32" s="2" t="str">
        <x:v>XT60PW-F</x:v>
      </x:c>
      <x:c r="B32" s="2" t="str">
        <x:v>AMASS</x:v>
      </x:c>
      <x:c r="C32" s="2" t="str">
        <x:v>XT60PW-F</x:v>
      </x:c>
      <x:c r="D32" s="2" t="str">
        <x:v>J3</x:v>
      </x:c>
      <x:c r="E32" s="2" t="str">
        <x:v>Connector_AMASS:AMASS_XT60PW-F_1x02_P7.20mm_Horizontal</x:v>
      </x:c>
      <x:c r="F32" s="2" t="str">
        <x:v>${KIPRJMOD}/Datasheets/AMASS_XT60PW-F.pdf</x:v>
      </x:c>
      <x:c r="G32" s="2"/>
    </x:row>
    <x:row r="33" ht="24" customHeight="1">
      <x:c r="A33" s="2" t="str">
        <x:v>XT60PW-M</x:v>
      </x:c>
      <x:c r="B33" s="2" t="str">
        <x:v>AMASS</x:v>
      </x:c>
      <x:c r="C33" s="2" t="str">
        <x:v>XT60PW-M</x:v>
      </x:c>
      <x:c r="D33" s="2" t="str">
        <x:v>J1</x:v>
      </x:c>
      <x:c r="E33" s="2" t="str">
        <x:v>Connector_AMASS:AMASS_XT60PW-M_1x02_P7.20mm_Horizontal</x:v>
      </x:c>
      <x:c r="F33" s="2" t="str">
        <x:v>${KIPRJMOD}/Datasheets/AMASS_XT60PW-M.pdf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</x:sheetData>
  <x:pageMargins left="0.7" right="0.7" top="0.75" bottom="0.75" header="0.3" footer="0.3"/>
</x:worksheet>
</file>