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31fa1f589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 components" sheetId="1" r:id="Ra6ced9e7af2c479c"/>
    <x:sheet xmlns:r="http://schemas.openxmlformats.org/officeDocument/2006/relationships" name="Equipment and supplies" sheetId="2" r:id="Rcd65960f155d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0"/>
      <x:color rgb="FF203040"/>
      <x:name val="Arial"/>
    </x:font>
    <x:font>
      <x:b/>
      <x:sz val="15"/>
      <x:color rgb="FF203040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D59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203D5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E2EFDA"/>
        </x:patternFill>
      </x:fill>
    </x:dxf>
    <x:dxf>
      <x:fill>
        <x:patternFill patternType="solid">
          <x:bgColor rgb="FFE2EF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9525c8bff46c3" /><Relationship Type="http://schemas.openxmlformats.org/officeDocument/2006/relationships/theme" Target="/xl/theme/theme1.xml" Id="R6cb07c869bfb4486" /><Relationship Type="http://schemas.openxmlformats.org/officeDocument/2006/relationships/sharedStrings" Target="/xl/sharedStrings.xml" Id="R238da6dbc5bf4886" /><Relationship Type="http://schemas.openxmlformats.org/officeDocument/2006/relationships/worksheet" Target="/xl/worksheets/sheet1.xml" Id="Ra6ced9e7af2c479c" /><Relationship Type="http://schemas.openxmlformats.org/officeDocument/2006/relationships/worksheet" Target="/xl/worksheets/sheet2.xml" Id="Rcd65960f155d4fa6" /></Relationships>
</file>

<file path=xl/tables/table1.xml><?xml version="1.0" encoding="utf-8"?>
<x:table xmlns:x="http://schemas.openxmlformats.org/spreadsheetml/2006/main" id="1" name="LabComponents" displayName="LabComponents" ref="A8:O97" headerRowCount="1" totalsRowCount="0" totalsRowShown="0">
  <x:autoFilter ref="A8:O97"/>
  <x:tableColumns count="15">
    <x:tableColumn id="1" name="Priority"/>
    <x:tableColumn id="2" name="Category"/>
    <x:tableColumn id="3" name="Item / specification"/>
    <x:tableColumn id="4" name="Package"/>
    <x:tableColumn id="5" name="Target stock"/>
    <x:tableColumn id="6" name="Free stock"/>
    <x:tableColumn id="7" name="Open orders"/>
    <x:tableColumn id="8" name="Stock gap"/>
    <x:tableColumn id="9" name="Unit"/>
    <x:tableColumn id="10" name="Candidate family / code"/>
    <x:tableColumn id="11" name="Manufacturer"/>
    <x:tableColumn id="12" name="Supplier search"/>
    <x:tableColumn id="13" name="Selection needed"/>
    <x:tableColumn id="14" name="Use"/>
    <x:tableColumn id="15" name="Supply form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bEquipment" displayName="LabEquipment" ref="A8:O41" headerRowCount="1" totalsRowCount="0" totalsRowShown="0">
  <x:autoFilter ref="A8:O41"/>
  <x:tableColumns count="15">
    <x:tableColumn id="1" name="Priority"/>
    <x:tableColumn id="2" name="Category"/>
    <x:tableColumn id="3" name="Item / specification"/>
    <x:tableColumn id="4" name="Package"/>
    <x:tableColumn id="5" name="Target stock"/>
    <x:tableColumn id="6" name="Free stock"/>
    <x:tableColumn id="7" name="Open orders"/>
    <x:tableColumn id="8" name="Stock gap"/>
    <x:tableColumn id="9" name="Unit"/>
    <x:tableColumn id="10" name="Candidate family / code"/>
    <x:tableColumn id="11" name="Manufacturer"/>
    <x:tableColumn id="12" name="Supplier search"/>
    <x:tableColumn id="13" name="Selection needed"/>
    <x:tableColumn id="14" name="Use"/>
    <x:tableColumn id="15" name="Supply form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d49a1d990c9b4f25" /><ns0:Relationship Id="labLink9L" Type="http://schemas.openxmlformats.org/officeDocument/2006/relationships/hyperlink" Target="https://www.digikey.com/en/products?keywords=0%20ohm%20jumper%200603%20EIA" TargetMode="External" /><ns0:Relationship Id="labLink10L" Type="http://schemas.openxmlformats.org/officeDocument/2006/relationships/hyperlink" Target="https://www.digikey.com/en/products?keywords=100%20ohm%2C%201%25%2C%20%3E%3D0.1%20W%200603%20EIA" TargetMode="External" /><ns0:Relationship Id="labLink11L" Type="http://schemas.openxmlformats.org/officeDocument/2006/relationships/hyperlink" Target="https://www.digikey.com/en/products?keywords=330%20ohm%2C%201%25%2C%20%3E%3D0.1%20W%200603%20EIA" TargetMode="External" /><ns0:Relationship Id="labLink12L" Type="http://schemas.openxmlformats.org/officeDocument/2006/relationships/hyperlink" Target="https://www.digikey.com/en/products?keywords=1k%20ohm%2C%201%25%2C%20%3E%3D0.1%20W%200603%20EIA" TargetMode="External" /><ns0:Relationship Id="labLink13L" Type="http://schemas.openxmlformats.org/officeDocument/2006/relationships/hyperlink" Target="https://www.digikey.com/en/products?keywords=4.7k%20ohm%2C%201%25%2C%20%3E%3D0.1%20W%200603%20EIA" TargetMode="External" /><ns0:Relationship Id="labLink14L" Type="http://schemas.openxmlformats.org/officeDocument/2006/relationships/hyperlink" Target="https://www.digikey.com/en/products?keywords=10k%20ohm%2C%201%25%2C%20%3E%3D0.1%20W%200603%20EIA" TargetMode="External" /><ns0:Relationship Id="labLink15L" Type="http://schemas.openxmlformats.org/officeDocument/2006/relationships/hyperlink" Target="https://www.digikey.com/en/products?keywords=100k%20ohm%2C%201%25%2C%20%3E%3D0.1%20W%200603%20EIA" TargetMode="External" /><ns0:Relationship Id="labLink16L" Type="http://schemas.openxmlformats.org/officeDocument/2006/relationships/hyperlink" Target="https://www.digikey.com/en/products?keywords=10%20ohm%2C%201%25%2C%20%3E%3D0.1%20W%200603%20EIA" TargetMode="External" /><ns0:Relationship Id="labLink17L" Type="http://schemas.openxmlformats.org/officeDocument/2006/relationships/hyperlink" Target="https://www.digikey.com/en/products?keywords=22%20ohm%2C%201%25%2C%20%3E%3D0.1%20W%200603%20EIA" TargetMode="External" /><ns0:Relationship Id="labLink18L" Type="http://schemas.openxmlformats.org/officeDocument/2006/relationships/hyperlink" Target="https://www.digikey.com/en/products?keywords=33%20ohm%2C%201%25%2C%20%3E%3D0.1%20W%200603%20EIA" TargetMode="External" /><ns0:Relationship Id="labLink19L" Type="http://schemas.openxmlformats.org/officeDocument/2006/relationships/hyperlink" Target="https://www.digikey.com/en/products?keywords=47%20ohm%2C%201%25%2C%20%3E%3D0.1%20W%200603%20EIA" TargetMode="External" /><ns0:Relationship Id="labLink20L" Type="http://schemas.openxmlformats.org/officeDocument/2006/relationships/hyperlink" Target="https://www.digikey.com/en/products?keywords=49.9%20ohm%2C%201%25%2C%20%3E%3D0.1%20W%200603%20EIA" TargetMode="External" /><ns0:Relationship Id="labLink21L" Type="http://schemas.openxmlformats.org/officeDocument/2006/relationships/hyperlink" Target="https://www.digikey.com/en/products?keywords=220%20ohm%2C%201%25%2C%20%3E%3D0.1%20W%200603%20EIA" TargetMode="External" /><ns0:Relationship Id="labLink22L" Type="http://schemas.openxmlformats.org/officeDocument/2006/relationships/hyperlink" Target="https://www.digikey.com/en/products?keywords=470%20ohm%2C%201%25%2C%20%3E%3D0.1%20W%200603%20EIA" TargetMode="External" /><ns0:Relationship Id="labLink23L" Type="http://schemas.openxmlformats.org/officeDocument/2006/relationships/hyperlink" Target="https://www.digikey.com/en/products?keywords=2.2k%20ohm%2C%201%25%2C%20%3E%3D0.1%20W%200603%20EIA" TargetMode="External" /><ns0:Relationship Id="labLink24L" Type="http://schemas.openxmlformats.org/officeDocument/2006/relationships/hyperlink" Target="https://www.digikey.com/en/products?keywords=3.3k%20ohm%2C%201%25%2C%20%3E%3D0.1%20W%200603%20EIA" TargetMode="External" /><ns0:Relationship Id="labLink25L" Type="http://schemas.openxmlformats.org/officeDocument/2006/relationships/hyperlink" Target="https://www.digikey.com/en/products?keywords=6.8k%20ohm%2C%201%25%2C%20%3E%3D0.1%20W%200603%20EIA" TargetMode="External" /><ns0:Relationship Id="labLink26L" Type="http://schemas.openxmlformats.org/officeDocument/2006/relationships/hyperlink" Target="https://www.digikey.com/en/products?keywords=22k%20ohm%2C%201%25%2C%20%3E%3D0.1%20W%200603%20EIA" TargetMode="External" /><ns0:Relationship Id="labLink27L" Type="http://schemas.openxmlformats.org/officeDocument/2006/relationships/hyperlink" Target="https://www.digikey.com/en/products?keywords=47k%20ohm%2C%201%25%2C%20%3E%3D0.1%20W%200603%20EIA" TargetMode="External" /><ns0:Relationship Id="labLink28L" Type="http://schemas.openxmlformats.org/officeDocument/2006/relationships/hyperlink" Target="https://www.digikey.com/en/products?keywords=1M%20ohm%2C%201%25%2C%20%3E%3D0.1%20W%200603%20EIA" TargetMode="External" /><ns0:Relationship Id="labLink29L" Type="http://schemas.openxmlformats.org/officeDocument/2006/relationships/hyperlink" Target="https://www.digikey.com/en/products?keywords=0%20ohm%20jumper%200402%20EIA" TargetMode="External" /><ns0:Relationship Id="labLink30L" Type="http://schemas.openxmlformats.org/officeDocument/2006/relationships/hyperlink" Target="https://www.digikey.com/en/products?keywords=1k%20ohm%2C%201%25%2C%20%3E%3D0.0625%20W%200402%20EIA" TargetMode="External" /><ns0:Relationship Id="labLink31L" Type="http://schemas.openxmlformats.org/officeDocument/2006/relationships/hyperlink" Target="https://www.digikey.com/en/products?keywords=4.7k%20ohm%2C%201%25%2C%20%3E%3D0.0625%20W%200402%20EIA" TargetMode="External" /><ns0:Relationship Id="labLink32L" Type="http://schemas.openxmlformats.org/officeDocument/2006/relationships/hyperlink" Target="https://www.digikey.com/en/products?keywords=10k%20ohm%2C%201%25%2C%20%3E%3D0.0625%20W%200402%20EIA" TargetMode="External" /><ns0:Relationship Id="labLink33L" Type="http://schemas.openxmlformats.org/officeDocument/2006/relationships/hyperlink" Target="https://www.digikey.com/en/products?keywords=100k%20ohm%2C%201%25%2C%20%3E%3D0.0625%20W%200402%20EIA" TargetMode="External" /><ns0:Relationship Id="labLink34L" Type="http://schemas.openxmlformats.org/officeDocument/2006/relationships/hyperlink" Target="https://www.digikey.com/en/products?keywords=100%20nF%20X7R%2025%20V%2010%25%200603%20EIA" TargetMode="External" /><ns0:Relationship Id="labLink35L" Type="http://schemas.openxmlformats.org/officeDocument/2006/relationships/hyperlink" Target="https://www.digikey.com/en/products?keywords=1%20uF%20X7R%2016%20V%2010%25%200603%20EIA" TargetMode="External" /><ns0:Relationship Id="labLink36L" Type="http://schemas.openxmlformats.org/officeDocument/2006/relationships/hyperlink" Target="https://www.digikey.com/en/products?keywords=1%20nF%20X7R%2050%20V%2010%25%200603%20EIA" TargetMode="External" /><ns0:Relationship Id="labLink37L" Type="http://schemas.openxmlformats.org/officeDocument/2006/relationships/hyperlink" Target="https://www.digikey.com/en/products?keywords=10%20nF%20X7R%2050%20V%2010%25%200603%20EIA" TargetMode="External" /><ns0:Relationship Id="labLink38L" Type="http://schemas.openxmlformats.org/officeDocument/2006/relationships/hyperlink" Target="https://www.digikey.com/en/products?keywords=4.7%20uF%20X7R%2016%20V%2010%25%200805%20EIA" TargetMode="External" /><ns0:Relationship Id="labLink39L" Type="http://schemas.openxmlformats.org/officeDocument/2006/relationships/hyperlink" Target="https://www.digikey.com/en/products?keywords=10%20uF%20X7R%2016%20V%2010%25%200805%20EIA" TargetMode="External" /><ns0:Relationship Id="labLink40L" Type="http://schemas.openxmlformats.org/officeDocument/2006/relationships/hyperlink" Target="https://www.digikey.com/en/products?keywords=22%20pF%20C0G%2050%20V%205%25%200603%20EIA" TargetMode="External" /><ns0:Relationship Id="labLink41L" Type="http://schemas.openxmlformats.org/officeDocument/2006/relationships/hyperlink" Target="https://www.digikey.com/en/products?keywords=47%20pF%20C0G%2050%20V%205%25%200603%20EIA" TargetMode="External" /><ns0:Relationship Id="labLink42L" Type="http://schemas.openxmlformats.org/officeDocument/2006/relationships/hyperlink" Target="https://www.digikey.com/en/products?keywords=100%20pF%20C0G%2050%20V%205%25%200603%20EIA" TargetMode="External" /><ns0:Relationship Id="labLink43L" Type="http://schemas.openxmlformats.org/officeDocument/2006/relationships/hyperlink" Target="https://www.digikey.com/en/products?keywords=1%20nF%20C0G%2050%20V%205%25%200603%20EIA" TargetMode="External" /><ns0:Relationship Id="labLink44L" Type="http://schemas.openxmlformats.org/officeDocument/2006/relationships/hyperlink" Target="https://www.digikey.com/en/products?keywords=100%20nF%20X7R%2016%20V%2010%25%200402%20EIA" TargetMode="External" /><ns0:Relationship Id="labLink45L" Type="http://schemas.openxmlformats.org/officeDocument/2006/relationships/hyperlink" Target="https://www.digikey.com/en/products?keywords=Ferrite%20bead%20Circuit-dependent" TargetMode="External" /><ns0:Relationship Id="labLink46L" Type="http://schemas.openxmlformats.org/officeDocument/2006/relationships/hyperlink" Target="https://www.digikey.com/en/products?keywords=Power%20inductor%20Circuit-dependent" TargetMode="External" /><ns0:Relationship Id="labLink47L" Type="http://schemas.openxmlformats.org/officeDocument/2006/relationships/hyperlink" Target="https://www.digikey.com/en/products?keywords=Bulk%20aluminum%20capacitor%20Circuit-dependent" TargetMode="External" /><ns0:Relationship Id="labLink48L" Type="http://schemas.openxmlformats.org/officeDocument/2006/relationships/hyperlink" Target="https://www.digikey.com/en/products?keywords=Precision%20shunt%20resistor%20Circuit-dependent" TargetMode="External" /><ns0:Relationship Id="labLink49K" Type="http://schemas.openxmlformats.org/officeDocument/2006/relationships/hyperlink" Target="https://www.ti.com/product/TLV755P" TargetMode="External" /><ns0:Relationship Id="labLink49L" Type="http://schemas.openxmlformats.org/officeDocument/2006/relationships/hyperlink" Target="https://www.digikey.com/en/products?keywords=TLV755P" TargetMode="External" /><ns0:Relationship Id="labLink50K" Type="http://schemas.openxmlformats.org/officeDocument/2006/relationships/hyperlink" Target="https://www.ti.com/product/TLV755P" TargetMode="External" /><ns0:Relationship Id="labLink50L" Type="http://schemas.openxmlformats.org/officeDocument/2006/relationships/hyperlink" Target="https://www.digikey.com/en/products?keywords=TLV755P" TargetMode="External" /><ns0:Relationship Id="labLink51K" Type="http://schemas.openxmlformats.org/officeDocument/2006/relationships/hyperlink" Target="https://www.ti.com/product/TLV9002" TargetMode="External" /><ns0:Relationship Id="labLink51L" Type="http://schemas.openxmlformats.org/officeDocument/2006/relationships/hyperlink" Target="https://www.digikey.com/en/products?keywords=TLV9002" TargetMode="External" /><ns0:Relationship Id="labLink52K" Type="http://schemas.openxmlformats.org/officeDocument/2006/relationships/hyperlink" Target="https://www.ti.com/product/TLV3201" TargetMode="External" /><ns0:Relationship Id="labLink52L" Type="http://schemas.openxmlformats.org/officeDocument/2006/relationships/hyperlink" Target="https://www.digikey.com/en/products?keywords=TLV3201" TargetMode="External" /><ns0:Relationship Id="labLink53K" Type="http://schemas.openxmlformats.org/officeDocument/2006/relationships/hyperlink" Target="https://www.ti.com/product/SN74LVC1G14" TargetMode="External" /><ns0:Relationship Id="labLink53L" Type="http://schemas.openxmlformats.org/officeDocument/2006/relationships/hyperlink" Target="https://www.digikey.com/en/products?keywords=SN74LVC1G14" TargetMode="External" /><ns0:Relationship Id="labLink54K" Type="http://schemas.openxmlformats.org/officeDocument/2006/relationships/hyperlink" Target="https://www.ti.com/product/SN74LVC1G125" TargetMode="External" /><ns0:Relationship Id="labLink54L" Type="http://schemas.openxmlformats.org/officeDocument/2006/relationships/hyperlink" Target="https://www.digikey.com/en/products?keywords=SN74LVC1G125" TargetMode="External" /><ns0:Relationship Id="labLink55K" Type="http://schemas.openxmlformats.org/officeDocument/2006/relationships/hyperlink" Target="https://www.ti.com/product/SN74LVC1T45" TargetMode="External" /><ns0:Relationship Id="labLink55L" Type="http://schemas.openxmlformats.org/officeDocument/2006/relationships/hyperlink" Target="https://www.digikey.com/en/products?keywords=SN74LVC1T45" TargetMode="External" /><ns0:Relationship Id="labLink56K" Type="http://schemas.openxmlformats.org/officeDocument/2006/relationships/hyperlink" Target="https://www.ti.com/product/TPS22918" TargetMode="External" /><ns0:Relationship Id="labLink56L" Type="http://schemas.openxmlformats.org/officeDocument/2006/relationships/hyperlink" Target="https://www.digikey.com/en/products?keywords=TPS22918" TargetMode="External" /><ns0:Relationship Id="labLink57K" Type="http://schemas.openxmlformats.org/officeDocument/2006/relationships/hyperlink" Target="https://www.ti.com/product/INA180" TargetMode="External" /><ns0:Relationship Id="labLink57L" Type="http://schemas.openxmlformats.org/officeDocument/2006/relationships/hyperlink" Target="https://www.digikey.com/en/products?keywords=INA180" TargetMode="External" /><ns0:Relationship Id="labLink58K" Type="http://schemas.openxmlformats.org/officeDocument/2006/relationships/hyperlink" Target="https://www.ti.com/product/TCAN332" TargetMode="External" /><ns0:Relationship Id="labLink58L" Type="http://schemas.openxmlformats.org/officeDocument/2006/relationships/hyperlink" Target="https://www.digikey.com/en/products?keywords=TCAN332" TargetMode="External" /><ns0:Relationship Id="labLink59L" Type="http://schemas.openxmlformats.org/officeDocument/2006/relationships/hyperlink" Target="https://www.digikey.com/en/products?keywords=Microcontroller%20Select%20platform" TargetMode="External" /><ns0:Relationship Id="labLink60L" Type="http://schemas.openxmlformats.org/officeDocument/2006/relationships/hyperlink" Target="https://www.digikey.com/en/products?keywords=SPI%20flash%20Select%20platform" TargetMode="External" /><ns0:Relationship Id="labLink61L" Type="http://schemas.openxmlformats.org/officeDocument/2006/relationships/hyperlink" Target="https://www.digikey.com/en/products?keywords=I2C%20EEPROM%20Select%20platform" TargetMode="External" /><ns0:Relationship Id="labLink62L" Type="http://schemas.openxmlformats.org/officeDocument/2006/relationships/hyperlink" Target="https://www.digikey.com/en/products?keywords=RS-485%20transceiver%20Select%20platform" TargetMode="External" /><ns0:Relationship Id="labLink63L" Type="http://schemas.openxmlformats.org/officeDocument/2006/relationships/hyperlink" Target="https://www.digikey.com/en/products?keywords=I2C%20level%20translator%20Select%20platform" TargetMode="External" /><ns0:Relationship Id="labLink64L" Type="http://schemas.openxmlformats.org/officeDocument/2006/relationships/hyperlink" Target="https://www.digikey.com/en/products?keywords=Reset%20supervisor%20Select%20platform" TargetMode="External" /><ns0:Relationship Id="labLink65L" Type="http://schemas.openxmlformats.org/officeDocument/2006/relationships/hyperlink" Target="https://www.digikey.com/en/products?keywords=USB%20UART%20bridge%20Select%20platform" TargetMode="External" /><ns0:Relationship Id="labLink66L" Type="http://schemas.openxmlformats.org/officeDocument/2006/relationships/hyperlink" Target="https://www.digikey.com/en/products?keywords=Buck%20regulator%20circuit%20kit%20Select%20platform" TargetMode="External" /><ns0:Relationship Id="labLink67L" Type="http://schemas.openxmlformats.org/officeDocument/2006/relationships/hyperlink" Target="https://www.digikey.com/en/products?keywords=IMU%20Select%20platform" TargetMode="External" /><ns0:Relationship Id="labLink68L" Type="http://schemas.openxmlformats.org/officeDocument/2006/relationships/hyperlink" Target="https://www.digikey.com/en/products?keywords=Crystal%20or%20oscillator%20Select%20platform" TargetMode="External" /><ns0:Relationship Id="labLink69L" Type="http://schemas.openxmlformats.org/officeDocument/2006/relationships/hyperlink" Target="https://www.digikey.com/en/products?keywords=Red%20indicator%20LED%200603%20EIA" TargetMode="External" /><ns0:Relationship Id="labLink70L" Type="http://schemas.openxmlformats.org/officeDocument/2006/relationships/hyperlink" Target="https://www.digikey.com/en/products?keywords=Green%20indicator%20LED%200603%20EIA" TargetMode="External" /><ns0:Relationship Id="labLink71L" Type="http://schemas.openxmlformats.org/officeDocument/2006/relationships/hyperlink" Target="https://www.digikey.com/en/products?keywords=Blue%20indicator%20LED%200603%20EIA" TargetMode="External" /><ns0:Relationship Id="labLink72L" Type="http://schemas.openxmlformats.org/officeDocument/2006/relationships/hyperlink" Target="https://www.digikey.com/en/products?keywords=NPN%20switching%20transistor%20SOT-23" TargetMode="External" /><ns0:Relationship Id="labLink73L" Type="http://schemas.openxmlformats.org/officeDocument/2006/relationships/hyperlink" Target="https://www.digikey.com/en/products?keywords=PNP%20switching%20transistor%20SOT-23" TargetMode="External" /><ns0:Relationship Id="labLink74L" Type="http://schemas.openxmlformats.org/officeDocument/2006/relationships/hyperlink" Target="https://www.digikey.com/en/products?keywords=Logic-level%20N-MOSFET%20SOT-23" TargetMode="External" /><ns0:Relationship Id="labLink75L" Type="http://schemas.openxmlformats.org/officeDocument/2006/relationships/hyperlink" Target="https://www.digikey.com/en/products?keywords=Logic-level%20P-MOSFET%20SOT-23" TargetMode="External" /><ns0:Relationship Id="labLink76L" Type="http://schemas.openxmlformats.org/officeDocument/2006/relationships/hyperlink" Target="https://www.digikey.com/en/products?keywords=Fast%20small-signal%20diode%20Select%20package" TargetMode="External" /><ns0:Relationship Id="labLink77L" Type="http://schemas.openxmlformats.org/officeDocument/2006/relationships/hyperlink" Target="https://www.digikey.com/en/products?keywords=Small%20Schottky%20diode%20Select%20package" TargetMode="External" /><ns0:Relationship Id="labLink78L" Type="http://schemas.openxmlformats.org/officeDocument/2006/relationships/hyperlink" Target="https://www.digikey.com/en/products?keywords=Low-capacitance%20ESD%20array%20Circuit-dependent" TargetMode="External" /><ns0:Relationship Id="labLink79L" Type="http://schemas.openxmlformats.org/officeDocument/2006/relationships/hyperlink" Target="https://www.digikey.com/en/products?keywords=Power-bus%20TVS%20diode%20Circuit-dependent" TargetMode="External" /><ns0:Relationship Id="labLink80L" Type="http://schemas.openxmlformats.org/officeDocument/2006/relationships/hyperlink" Target="https://www.digikey.com/en/products?keywords=2.54%20mm%20male%20breakaway%20header%20Select%20footprint" TargetMode="External" /><ns0:Relationship Id="labLink81L" Type="http://schemas.openxmlformats.org/officeDocument/2006/relationships/hyperlink" Target="https://www.digikey.com/en/products?keywords=2.54%20mm%20female%20header%20Select%20footprint" TargetMode="External" /><ns0:Relationship Id="labLink82L" Type="http://schemas.openxmlformats.org/officeDocument/2006/relationships/hyperlink" Target="https://www.digikey.com/en/products?keywords=2.54%20mm%20jumper%20shunt%20Select%20footprint" TargetMode="External" /><ns0:Relationship Id="labLink83L" Type="http://schemas.openxmlformats.org/officeDocument/2006/relationships/hyperlink" Target="https://www.digikey.com/en/products?keywords=PCB%20test%20point%20Select%20footprint" TargetMode="External" /><ns0:Relationship Id="labLink84L" Type="http://schemas.openxmlformats.org/officeDocument/2006/relationships/hyperlink" Target="https://www.digikey.com/en/products?keywords=Tactile%20switch%20Select%20footprint" TargetMode="External" /><ns0:Relationship Id="labLink85K" Type="http://schemas.openxmlformats.org/officeDocument/2006/relationships/hyperlink" Target="https://www.jst-mfg.com/product/index.php?series=105" TargetMode="External" /><ns0:Relationship Id="labLink85L" Type="http://schemas.openxmlformats.org/officeDocument/2006/relationships/hyperlink" Target="https://www.digikey.com/en/products?keywords=JST%20GH%202%20pin" TargetMode="External" /><ns0:Relationship Id="labLink86K" Type="http://schemas.openxmlformats.org/officeDocument/2006/relationships/hyperlink" Target="https://www.jst-mfg.com/product/index.php?series=105" TargetMode="External" /><ns0:Relationship Id="labLink86L" Type="http://schemas.openxmlformats.org/officeDocument/2006/relationships/hyperlink" Target="https://www.digikey.com/en/products?keywords=JST%20GH%202%20housing" TargetMode="External" /><ns0:Relationship Id="labLink87K" Type="http://schemas.openxmlformats.org/officeDocument/2006/relationships/hyperlink" Target="https://www.jst-mfg.com/product/index.php?series=105" TargetMode="External" /><ns0:Relationship Id="labLink87L" Type="http://schemas.openxmlformats.org/officeDocument/2006/relationships/hyperlink" Target="https://www.digikey.com/en/products?keywords=JST%20GH%203%20pin" TargetMode="External" /><ns0:Relationship Id="labLink88K" Type="http://schemas.openxmlformats.org/officeDocument/2006/relationships/hyperlink" Target="https://www.jst-mfg.com/product/index.php?series=105" TargetMode="External" /><ns0:Relationship Id="labLink88L" Type="http://schemas.openxmlformats.org/officeDocument/2006/relationships/hyperlink" Target="https://www.digikey.com/en/products?keywords=JST%20GH%203%20housing" TargetMode="External" /><ns0:Relationship Id="labLink89K" Type="http://schemas.openxmlformats.org/officeDocument/2006/relationships/hyperlink" Target="https://www.jst-mfg.com/product/index.php?series=105" TargetMode="External" /><ns0:Relationship Id="labLink89L" Type="http://schemas.openxmlformats.org/officeDocument/2006/relationships/hyperlink" Target="https://www.digikey.com/en/products?keywords=JST%20GH%204%20pin" TargetMode="External" /><ns0:Relationship Id="labLink90K" Type="http://schemas.openxmlformats.org/officeDocument/2006/relationships/hyperlink" Target="https://www.jst-mfg.com/product/index.php?series=105" TargetMode="External" /><ns0:Relationship Id="labLink90L" Type="http://schemas.openxmlformats.org/officeDocument/2006/relationships/hyperlink" Target="https://www.digikey.com/en/products?keywords=JST%20GH%204%20housing" TargetMode="External" /><ns0:Relationship Id="labLink91K" Type="http://schemas.openxmlformats.org/officeDocument/2006/relationships/hyperlink" Target="https://www.jst-mfg.com/product/index.php?series=105" TargetMode="External" /><ns0:Relationship Id="labLink91L" Type="http://schemas.openxmlformats.org/officeDocument/2006/relationships/hyperlink" Target="https://www.digikey.com/en/products?keywords=JST%20GH%206%20pin" TargetMode="External" /><ns0:Relationship Id="labLink92K" Type="http://schemas.openxmlformats.org/officeDocument/2006/relationships/hyperlink" Target="https://www.jst-mfg.com/product/index.php?series=105" TargetMode="External" /><ns0:Relationship Id="labLink92L" Type="http://schemas.openxmlformats.org/officeDocument/2006/relationships/hyperlink" Target="https://www.digikey.com/en/products?keywords=JST%20GH%206%20housing" TargetMode="External" /><ns0:Relationship Id="labLink93K" Type="http://schemas.openxmlformats.org/officeDocument/2006/relationships/hyperlink" Target="https://www.jst-mfg.com/product/index.php?series=105" TargetMode="External" /><ns0:Relationship Id="labLink93L" Type="http://schemas.openxmlformats.org/officeDocument/2006/relationships/hyperlink" Target="https://www.digikey.com/en/products?keywords=JST%20GH%20crimp%20contact" TargetMode="External" /><ns0:Relationship Id="labLink94L" Type="http://schemas.openxmlformats.org/officeDocument/2006/relationships/hyperlink" Target="https://www.digikey.com/en/products?keywords=Power%20connector%20mating%20pair%20Mechanical%20choice" TargetMode="External" /><ns0:Relationship Id="labLink95L" Type="http://schemas.openxmlformats.org/officeDocument/2006/relationships/hyperlink" Target="https://www.digikey.com/en/products?keywords=USB%20connector%20Mechanical%20choice" TargetMode="External" /><ns0:Relationship Id="labLink96L" Type="http://schemas.openxmlformats.org/officeDocument/2006/relationships/hyperlink" Target="https://www.digikey.com/en/products?keywords=SWD%20programming%20connector%20Mechanical%20choice" TargetMode="External" /><ns0:Relationship Id="labLink97L" Type="http://schemas.openxmlformats.org/officeDocument/2006/relationships/hyperlink" Target="https://www.digikey.com/en/products?keywords=RF%20connector%20Mechanical%20choice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699db258f05249b2" /><ns0:Relationship Id="labLink9L" Type="http://schemas.openxmlformats.org/officeDocument/2006/relationships/hyperlink" Target="https://www.digikey.com/en/products?keywords=PnP%20feeders" TargetMode="External" /><ns0:Relationship Id="labLink10L" Type="http://schemas.openxmlformats.org/officeDocument/2006/relationships/hyperlink" Target="https://www.digikey.com/en/products?keywords=PnP%20nozzle%20set" TargetMode="External" /><ns0:Relationship Id="labLink11L" Type="http://schemas.openxmlformats.org/officeDocument/2006/relationships/hyperlink" Target="https://www.digikey.com/en/products?keywords=Cut-tape%20fixture" TargetMode="External" /><ns0:Relationship Id="labLink12L" Type="http://schemas.openxmlformats.org/officeDocument/2006/relationships/hyperlink" Target="https://www.digikey.com/en/products?keywords=Tape%20leader%20and%20splice%20supplies" TargetMode="External" /><ns0:Relationship Id="labLink13L" Type="http://schemas.openxmlformats.org/officeDocument/2006/relationships/hyperlink" Target="https://www.digikey.com/en/products?keywords=Reel%20storage%20rack" TargetMode="External" /><ns0:Relationship Id="labLink14L" Type="http://schemas.openxmlformats.org/officeDocument/2006/relationships/hyperlink" Target="https://www.digikey.com/en/products?keywords=Component%20label%20printer" TargetMode="External" /><ns0:Relationship Id="labLink15L" Type="http://schemas.openxmlformats.org/officeDocument/2006/relationships/hyperlink" Target="https://www.digikey.com/en/products?keywords=ESD%20component%20storage%20bins" TargetMode="External" /><ns0:Relationship Id="labLink16L" Type="http://schemas.openxmlformats.org/officeDocument/2006/relationships/hyperlink" Target="https://www.digikey.com/en/products?keywords=ESD%20mat%20and%20wrist%20strap%20kit" TargetMode="External" /><ns0:Relationship Id="labLink17L" Type="http://schemas.openxmlformats.org/officeDocument/2006/relationships/hyperlink" Target="https://www.digikey.com/en/products?keywords=Moisture%20barrier%20bags%20desiccant%20humidity%20cards" TargetMode="External" /><ns0:Relationship Id="labLink18L" Type="http://schemas.openxmlformats.org/officeDocument/2006/relationships/hyperlink" Target="https://www.digikey.com/en/products?keywords=Dry%20cabinet" TargetMode="External" /><ns0:Relationship Id="labLink19L" Type="http://schemas.openxmlformats.org/officeDocument/2006/relationships/hyperlink" Target="https://www.digikey.com/en/products?keywords=Solder%20paste" TargetMode="External" /><ns0:Relationship Id="labLink20L" Type="http://schemas.openxmlformats.org/officeDocument/2006/relationships/hyperlink" Target="https://www.digikey.com/en/products?keywords=Stencil%20printer%20or%20alignment%20fixture" TargetMode="External" /><ns0:Relationship Id="labLink21L" Type="http://schemas.openxmlformats.org/officeDocument/2006/relationships/hyperlink" Target="https://www.digikey.com/en/products?keywords=PCB%20stencil" TargetMode="External" /><ns0:Relationship Id="labLink22L" Type="http://schemas.openxmlformats.org/officeDocument/2006/relationships/hyperlink" Target="https://www.digikey.com/en/products?keywords=PCB%20support%20fixtures" TargetMode="External" /><ns0:Relationship Id="labLink23L" Type="http://schemas.openxmlformats.org/officeDocument/2006/relationships/hyperlink" Target="https://www.digikey.com/en/products?keywords=Reflow%20oven" TargetMode="External" /><ns0:Relationship Id="labLink24L" Type="http://schemas.openxmlformats.org/officeDocument/2006/relationships/hyperlink" Target="https://www.digikey.com/en/products?keywords=Reflow%20thermocouple%20profiler" TargetMode="External" /><ns0:Relationship Id="labLink25L" Type="http://schemas.openxmlformats.org/officeDocument/2006/relationships/hyperlink" Target="https://www.digikey.com/en/products?keywords=Inspection%20microscope" TargetMode="External" /><ns0:Relationship Id="labLink26L" Type="http://schemas.openxmlformats.org/officeDocument/2006/relationships/hyperlink" Target="https://www.digikey.com/en/products?keywords=Soldering%20station" TargetMode="External" /><ns0:Relationship Id="labLink27L" Type="http://schemas.openxmlformats.org/officeDocument/2006/relationships/hyperlink" Target="https://www.digikey.com/en/products?keywords=Hot%20air%20rework%20station" TargetMode="External" /><ns0:Relationship Id="labLink28L" Type="http://schemas.openxmlformats.org/officeDocument/2006/relationships/hyperlink" Target="https://www.digikey.com/en/products?keywords=Fume%20extraction" TargetMode="External" /><ns0:Relationship Id="labLink29L" Type="http://schemas.openxmlformats.org/officeDocument/2006/relationships/hyperlink" Target="https://www.digikey.com/en/products?keywords=ESD%20tweezers" TargetMode="External" /><ns0:Relationship Id="labLink30L" Type="http://schemas.openxmlformats.org/officeDocument/2006/relationships/hyperlink" Target="https://www.digikey.com/en/products?keywords=Flux%20solder%20wick%20solder%20wire" TargetMode="External" /><ns0:Relationship Id="labLink31L" Type="http://schemas.openxmlformats.org/officeDocument/2006/relationships/hyperlink" Target="https://www.digikey.com/en/products?keywords=Electronics%20cleaning%20wipes%20and%20solvent" TargetMode="External" /><ns0:Relationship Id="labLink32L" Type="http://schemas.openxmlformats.org/officeDocument/2006/relationships/hyperlink" Target="https://www.digikey.com/en/products?keywords=Hook-up%20wire%20assortment" TargetMode="External" /><ns0:Relationship Id="labLink33L" Type="http://schemas.openxmlformats.org/officeDocument/2006/relationships/hyperlink" Target="https://www.digikey.com/en/products?keywords=Heat%20shrink%20assortment" TargetMode="External" /><ns0:Relationship Id="labLink34L" Type="http://schemas.openxmlformats.org/officeDocument/2006/relationships/hyperlink" Target="https://www.digikey.com/en/products?keywords=JST%20GH%20compatible%20crimp%20tool" TargetMode="External" /><ns0:Relationship Id="labLink35L" Type="http://schemas.openxmlformats.org/officeDocument/2006/relationships/hyperlink" Target="https://www.digikey.com/en/products?keywords=Wire%20stripper%20and%20flush%20cutters" TargetMode="External" /><ns0:Relationship Id="labLink36L" Type="http://schemas.openxmlformats.org/officeDocument/2006/relationships/hyperlink" Target="https://www.digikey.com/en/products?keywords=Digital%20multimeter" TargetMode="External" /><ns0:Relationship Id="labLink37L" Type="http://schemas.openxmlformats.org/officeDocument/2006/relationships/hyperlink" Target="https://www.digikey.com/en/products?keywords=Bench%20DC%20power%20supply" TargetMode="External" /><ns0:Relationship Id="labLink38L" Type="http://schemas.openxmlformats.org/officeDocument/2006/relationships/hyperlink" Target="https://www.digikey.com/en/products?keywords=Oscilloscope%20with%20probes" TargetMode="External" /><ns0:Relationship Id="labLink39L" Type="http://schemas.openxmlformats.org/officeDocument/2006/relationships/hyperlink" Target="https://www.digikey.com/en/products?keywords=Logic%20analyzer" TargetMode="External" /><ns0:Relationship Id="labLink40L" Type="http://schemas.openxmlformats.org/officeDocument/2006/relationships/hyperlink" Target="https://www.digikey.com/en/products?keywords=Electronic%20load" TargetMode="External" /><ns0:Relationship Id="labLink41L" Type="http://schemas.openxmlformats.org/officeDocument/2006/relationships/hyperlink" Target="https://www.digikey.com/en/products?keywords=MCU%20programmer%20debugger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03D59"/>
  </sheetPr>
  <sheetViews>
    <sheetView showGridLines="0" workbookViewId="0">
      <pane xSplit="3" ySplit="8" topLeftCell="D9" activePane="bottomRight" state="frozen"/>
    </sheetView>
  </sheetViews>
  <sheetFormatPr defaultRowHeight="15"/>
  <cols>
    <col min="1" max="1" width="9" hidden="0" customWidth="1"/>
    <col min="2" max="2" width="19" hidden="0" customWidth="1"/>
    <col min="3" max="3" width="43" hidden="0" customWidth="1"/>
    <col min="4" max="4" width="23" hidden="0" customWidth="1"/>
    <col min="5" max="5" width="13" hidden="0" customWidth="1"/>
    <col min="6" max="6" width="13" hidden="0" customWidth="1"/>
    <col min="7" max="7" width="13" hidden="0" customWidth="1"/>
    <col min="8" max="8" width="13" hidden="0" customWidth="1"/>
    <col min="9" max="9" width="12" hidden="0" customWidth="1"/>
    <col min="10" max="10" width="24" hidden="0" customWidth="1"/>
    <col min="11" max="11" width="23" hidden="0" customWidth="1"/>
    <col min="12" max="12" width="20" hidden="0" customWidth="1"/>
    <col min="13" max="13" width="29" hidden="0" customWidth="1"/>
    <col min="14" max="14" width="66" hidden="0" customWidth="1"/>
    <col min="15" max="15" width="34" hidden="0" customWidth="1"/>
  </cols>
  <sheetData>
    <row r="1" ht="3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2" customHeight="1">
      <c r="A2" s="3" t="str">
        <v>General lab component stock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2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32" customHeight="1">
      <c r="A4" s="2" t="str">
        <v>Targets are starter-stock recommendations per row, before inventory. P1 = first wave; P2 = expand after platform selection.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2" customHeight="1">
      <c r="A5" s="2" t="str">
        <v>Yellow cells are editable. Enter 0 for confirmed none. Gap stays blank until stock and open orders are recorded.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32" customHeight="1">
      <c r="A6" s="2" t="str">
        <v>Gap is a planning quantity, not order release. Round to supplier packs after exact MPN and carrier selection. Links do not confirm price or stock.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32" customHeight="1">
      <c r="A7" s="2" t="str">
        <v>Prepared 14 Sep 2026. Count Ryan’s books only when identified and usable. Keep project-reserved stock out of free stock.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38" customHeight="1">
      <c r="A8" s="8" t="str">
        <v>Priority</v>
      </c>
      <c r="B8" s="8" t="str">
        <v>Category</v>
      </c>
      <c r="C8" s="8" t="str">
        <v>Item / specification</v>
      </c>
      <c r="D8" s="8" t="str">
        <v>Package</v>
      </c>
      <c r="E8" s="8" t="str">
        <v>Target stock</v>
      </c>
      <c r="F8" s="8" t="str">
        <v>Free stock</v>
      </c>
      <c r="G8" s="8" t="str">
        <v>Open orders</v>
      </c>
      <c r="H8" s="8" t="str">
        <v>Stock gap</v>
      </c>
      <c r="I8" s="8" t="str">
        <v>Unit</v>
      </c>
      <c r="J8" s="8" t="str">
        <v>Candidate family / code</v>
      </c>
      <c r="K8" s="8" t="str">
        <v>Manufacturer</v>
      </c>
      <c r="L8" s="8" t="str">
        <v>Supplier search</v>
      </c>
      <c r="M8" s="8" t="str">
        <v>Selection needed</v>
      </c>
      <c r="N8" s="8" t="str">
        <v>Use</v>
      </c>
      <c r="O8" s="8" t="str">
        <v>Supply format</v>
      </c>
    </row>
    <row r="9" ht="42" customHeight="1">
      <c r="A9" s="2" t="str">
        <v>P1</v>
      </c>
      <c r="B9" s="2" t="str">
        <v>Resistors</v>
      </c>
      <c r="C9" s="15" t="str">
        <v>0 ohm jumper</v>
      </c>
      <c r="D9" s="15" t="str">
        <v>0603 EIA</v>
      </c>
      <c r="E9" s="12" t="n">
        <v>1000</v>
      </c>
      <c r="F9" s="12"/>
      <c r="G9" s="12"/>
      <c r="H9" s="13" t="str">
        <f>IF(AND(ISNUMBER(E9),ISNUMBER(F9),ISNUMBER(G9)),MAX(0,E9-F9-G9),"")</f>
      </c>
      <c r="I9" s="2" t="str">
        <v>pcs</v>
      </c>
      <c r="J9" s="2" t="str">
        <v>To select</v>
      </c>
      <c r="K9" s="14"/>
      <c r="L9" s="14" t="str">
        <v>Search supplier</v>
      </c>
      <c r="M9" s="15" t="str">
        <v>Select exact MPN</v>
      </c>
      <c r="N9" s="15" t="str">
        <v>Bias, pull-ups, current limiting or signal termination.</v>
      </c>
      <c r="O9" s="15" t="str">
        <v>Custom reel / continuous tape</v>
      </c>
    </row>
    <row r="10" ht="42" customHeight="1">
      <c r="A10" s="2" t="str">
        <v>P1</v>
      </c>
      <c r="B10" s="2" t="str">
        <v>Resistors</v>
      </c>
      <c r="C10" s="15" t="str">
        <v>100 ohm, 1%, &gt;=0.1 W</v>
      </c>
      <c r="D10" s="15" t="str">
        <v>0603 EIA</v>
      </c>
      <c r="E10" s="12" t="n">
        <v>1000</v>
      </c>
      <c r="F10" s="12"/>
      <c r="G10" s="12"/>
      <c r="H10" s="13" t="str">
        <f>IF(AND(ISNUMBER(E10),ISNUMBER(F10),ISNUMBER(G10)),MAX(0,E10-F10-G10),"")</f>
      </c>
      <c r="I10" s="2" t="str">
        <v>pcs</v>
      </c>
      <c r="J10" s="2" t="str">
        <v>To select</v>
      </c>
      <c r="K10" s="14"/>
      <c r="L10" s="14" t="str">
        <v>Search supplier</v>
      </c>
      <c r="M10" s="15" t="str">
        <v>Select exact MPN</v>
      </c>
      <c r="N10" s="15" t="str">
        <v>Bias, pull-ups, current limiting or signal termination.</v>
      </c>
      <c r="O10" s="15" t="str">
        <v>Custom reel / continuous tape</v>
      </c>
    </row>
    <row r="11" ht="42" customHeight="1">
      <c r="A11" s="2" t="str">
        <v>P1</v>
      </c>
      <c r="B11" s="2" t="str">
        <v>Resistors</v>
      </c>
      <c r="C11" s="15" t="str">
        <v>330 ohm, 1%, &gt;=0.1 W</v>
      </c>
      <c r="D11" s="15" t="str">
        <v>0603 EIA</v>
      </c>
      <c r="E11" s="12" t="n">
        <v>1000</v>
      </c>
      <c r="F11" s="12"/>
      <c r="G11" s="12"/>
      <c r="H11" s="13" t="str">
        <f>IF(AND(ISNUMBER(E11),ISNUMBER(F11),ISNUMBER(G11)),MAX(0,E11-F11-G11),"")</f>
      </c>
      <c r="I11" s="2" t="str">
        <v>pcs</v>
      </c>
      <c r="J11" s="2" t="str">
        <v>To select</v>
      </c>
      <c r="K11" s="14"/>
      <c r="L11" s="14" t="str">
        <v>Search supplier</v>
      </c>
      <c r="M11" s="15" t="str">
        <v>Select exact MPN</v>
      </c>
      <c r="N11" s="15" t="str">
        <v>Bias, pull-ups, current limiting or signal termination.</v>
      </c>
      <c r="O11" s="15" t="str">
        <v>Custom reel / continuous tape</v>
      </c>
    </row>
    <row r="12" ht="42" customHeight="1">
      <c r="A12" s="2" t="str">
        <v>P1</v>
      </c>
      <c r="B12" s="2" t="str">
        <v>Resistors</v>
      </c>
      <c r="C12" s="15" t="str">
        <v>1k ohm, 1%, &gt;=0.1 W</v>
      </c>
      <c r="D12" s="15" t="str">
        <v>0603 EIA</v>
      </c>
      <c r="E12" s="12" t="n">
        <v>1000</v>
      </c>
      <c r="F12" s="12"/>
      <c r="G12" s="12"/>
      <c r="H12" s="13" t="str">
        <f>IF(AND(ISNUMBER(E12),ISNUMBER(F12),ISNUMBER(G12)),MAX(0,E12-F12-G12),"")</f>
      </c>
      <c r="I12" s="2" t="str">
        <v>pcs</v>
      </c>
      <c r="J12" s="2" t="str">
        <v>To select</v>
      </c>
      <c r="K12" s="14"/>
      <c r="L12" s="14" t="str">
        <v>Search supplier</v>
      </c>
      <c r="M12" s="15" t="str">
        <v>Select exact MPN</v>
      </c>
      <c r="N12" s="15" t="str">
        <v>Bias, pull-ups, current limiting or signal termination.</v>
      </c>
      <c r="O12" s="15" t="str">
        <v>Custom reel / continuous tape</v>
      </c>
    </row>
    <row r="13" ht="42" customHeight="1">
      <c r="A13" s="2" t="str">
        <v>P1</v>
      </c>
      <c r="B13" s="2" t="str">
        <v>Resistors</v>
      </c>
      <c r="C13" s="15" t="str">
        <v>4.7k ohm, 1%, &gt;=0.1 W</v>
      </c>
      <c r="D13" s="15" t="str">
        <v>0603 EIA</v>
      </c>
      <c r="E13" s="12" t="n">
        <v>1000</v>
      </c>
      <c r="F13" s="12"/>
      <c r="G13" s="12"/>
      <c r="H13" s="13" t="str">
        <f>IF(AND(ISNUMBER(E13),ISNUMBER(F13),ISNUMBER(G13)),MAX(0,E13-F13-G13),"")</f>
      </c>
      <c r="I13" s="2" t="str">
        <v>pcs</v>
      </c>
      <c r="J13" s="2" t="str">
        <v>To select</v>
      </c>
      <c r="K13" s="14"/>
      <c r="L13" s="14" t="str">
        <v>Search supplier</v>
      </c>
      <c r="M13" s="15" t="str">
        <v>Select exact MPN</v>
      </c>
      <c r="N13" s="15" t="str">
        <v>Bias, pull-ups, current limiting or signal termination.</v>
      </c>
      <c r="O13" s="15" t="str">
        <v>Custom reel / continuous tape</v>
      </c>
    </row>
    <row r="14" ht="42" customHeight="1">
      <c r="A14" s="2" t="str">
        <v>P1</v>
      </c>
      <c r="B14" s="2" t="str">
        <v>Resistors</v>
      </c>
      <c r="C14" s="15" t="str">
        <v>10k ohm, 1%, &gt;=0.1 W</v>
      </c>
      <c r="D14" s="15" t="str">
        <v>0603 EIA</v>
      </c>
      <c r="E14" s="12" t="n">
        <v>1000</v>
      </c>
      <c r="F14" s="12"/>
      <c r="G14" s="12"/>
      <c r="H14" s="13" t="str">
        <f>IF(AND(ISNUMBER(E14),ISNUMBER(F14),ISNUMBER(G14)),MAX(0,E14-F14-G14),"")</f>
      </c>
      <c r="I14" s="2" t="str">
        <v>pcs</v>
      </c>
      <c r="J14" s="2" t="str">
        <v>To select</v>
      </c>
      <c r="K14" s="14"/>
      <c r="L14" s="14" t="str">
        <v>Search supplier</v>
      </c>
      <c r="M14" s="15" t="str">
        <v>Select exact MPN</v>
      </c>
      <c r="N14" s="15" t="str">
        <v>Bias, pull-ups, current limiting or signal termination.</v>
      </c>
      <c r="O14" s="15" t="str">
        <v>Custom reel / continuous tape</v>
      </c>
    </row>
    <row r="15" ht="42" customHeight="1">
      <c r="A15" s="2" t="str">
        <v>P1</v>
      </c>
      <c r="B15" s="2" t="str">
        <v>Resistors</v>
      </c>
      <c r="C15" s="15" t="str">
        <v>100k ohm, 1%, &gt;=0.1 W</v>
      </c>
      <c r="D15" s="15" t="str">
        <v>0603 EIA</v>
      </c>
      <c r="E15" s="12" t="n">
        <v>1000</v>
      </c>
      <c r="F15" s="12"/>
      <c r="G15" s="12"/>
      <c r="H15" s="13" t="str">
        <f>IF(AND(ISNUMBER(E15),ISNUMBER(F15),ISNUMBER(G15)),MAX(0,E15-F15-G15),"")</f>
      </c>
      <c r="I15" s="2" t="str">
        <v>pcs</v>
      </c>
      <c r="J15" s="2" t="str">
        <v>To select</v>
      </c>
      <c r="K15" s="14"/>
      <c r="L15" s="14" t="str">
        <v>Search supplier</v>
      </c>
      <c r="M15" s="15" t="str">
        <v>Select exact MPN</v>
      </c>
      <c r="N15" s="15" t="str">
        <v>Bias, pull-ups, current limiting or signal termination.</v>
      </c>
      <c r="O15" s="15" t="str">
        <v>Custom reel / continuous tape</v>
      </c>
    </row>
    <row r="16" ht="42" customHeight="1">
      <c r="A16" s="2" t="str">
        <v>P1</v>
      </c>
      <c r="B16" s="2" t="str">
        <v>Resistors</v>
      </c>
      <c r="C16" s="15" t="str">
        <v>10 ohm, 1%, &gt;=0.1 W</v>
      </c>
      <c r="D16" s="15" t="str">
        <v>0603 EIA</v>
      </c>
      <c r="E16" s="12" t="n">
        <v>250</v>
      </c>
      <c r="F16" s="12"/>
      <c r="G16" s="12"/>
      <c r="H16" s="13" t="str">
        <f>IF(AND(ISNUMBER(E16),ISNUMBER(F16),ISNUMBER(G16)),MAX(0,E16-F16-G16),"")</f>
      </c>
      <c r="I16" s="2" t="str">
        <v>pcs</v>
      </c>
      <c r="J16" s="2" t="str">
        <v>To select</v>
      </c>
      <c r="K16" s="14"/>
      <c r="L16" s="14" t="str">
        <v>Search supplier</v>
      </c>
      <c r="M16" s="15" t="str">
        <v>Select exact MPN</v>
      </c>
      <c r="N16" s="15" t="str">
        <v>Bias, pull-ups, current limiting or signal termination.</v>
      </c>
      <c r="O16" s="15" t="str">
        <v>Custom reel / continuous tape</v>
      </c>
    </row>
    <row r="17" ht="42" customHeight="1">
      <c r="A17" s="2" t="str">
        <v>P1</v>
      </c>
      <c r="B17" s="2" t="str">
        <v>Resistors</v>
      </c>
      <c r="C17" s="15" t="str">
        <v>22 ohm, 1%, &gt;=0.1 W</v>
      </c>
      <c r="D17" s="15" t="str">
        <v>0603 EIA</v>
      </c>
      <c r="E17" s="12" t="n">
        <v>250</v>
      </c>
      <c r="F17" s="12"/>
      <c r="G17" s="12"/>
      <c r="H17" s="13" t="str">
        <f>IF(AND(ISNUMBER(E17),ISNUMBER(F17),ISNUMBER(G17)),MAX(0,E17-F17-G17),"")</f>
      </c>
      <c r="I17" s="2" t="str">
        <v>pcs</v>
      </c>
      <c r="J17" s="2" t="str">
        <v>To select</v>
      </c>
      <c r="K17" s="14"/>
      <c r="L17" s="14" t="str">
        <v>Search supplier</v>
      </c>
      <c r="M17" s="15" t="str">
        <v>Select exact MPN</v>
      </c>
      <c r="N17" s="15" t="str">
        <v>Bias, pull-ups, current limiting or signal termination.</v>
      </c>
      <c r="O17" s="15" t="str">
        <v>Custom reel / continuous tape</v>
      </c>
    </row>
    <row r="18" ht="42" customHeight="1">
      <c r="A18" s="2" t="str">
        <v>P1</v>
      </c>
      <c r="B18" s="2" t="str">
        <v>Resistors</v>
      </c>
      <c r="C18" s="15" t="str">
        <v>33 ohm, 1%, &gt;=0.1 W</v>
      </c>
      <c r="D18" s="15" t="str">
        <v>0603 EIA</v>
      </c>
      <c r="E18" s="12" t="n">
        <v>250</v>
      </c>
      <c r="F18" s="12"/>
      <c r="G18" s="12"/>
      <c r="H18" s="13" t="str">
        <f>IF(AND(ISNUMBER(E18),ISNUMBER(F18),ISNUMBER(G18)),MAX(0,E18-F18-G18),"")</f>
      </c>
      <c r="I18" s="2" t="str">
        <v>pcs</v>
      </c>
      <c r="J18" s="2" t="str">
        <v>To select</v>
      </c>
      <c r="K18" s="14"/>
      <c r="L18" s="14" t="str">
        <v>Search supplier</v>
      </c>
      <c r="M18" s="15" t="str">
        <v>Select exact MPN</v>
      </c>
      <c r="N18" s="15" t="str">
        <v>Bias, pull-ups, current limiting or signal termination.</v>
      </c>
      <c r="O18" s="15" t="str">
        <v>Custom reel / continuous tape</v>
      </c>
    </row>
    <row r="19" ht="42" customHeight="1">
      <c r="A19" s="2" t="str">
        <v>P1</v>
      </c>
      <c r="B19" s="2" t="str">
        <v>Resistors</v>
      </c>
      <c r="C19" s="15" t="str">
        <v>47 ohm, 1%, &gt;=0.1 W</v>
      </c>
      <c r="D19" s="15" t="str">
        <v>0603 EIA</v>
      </c>
      <c r="E19" s="12" t="n">
        <v>250</v>
      </c>
      <c r="F19" s="12"/>
      <c r="G19" s="12"/>
      <c r="H19" s="13" t="str">
        <f>IF(AND(ISNUMBER(E19),ISNUMBER(F19),ISNUMBER(G19)),MAX(0,E19-F19-G19),"")</f>
      </c>
      <c r="I19" s="2" t="str">
        <v>pcs</v>
      </c>
      <c r="J19" s="2" t="str">
        <v>To select</v>
      </c>
      <c r="K19" s="14"/>
      <c r="L19" s="14" t="str">
        <v>Search supplier</v>
      </c>
      <c r="M19" s="15" t="str">
        <v>Select exact MPN</v>
      </c>
      <c r="N19" s="15" t="str">
        <v>Bias, pull-ups, current limiting or signal termination.</v>
      </c>
      <c r="O19" s="15" t="str">
        <v>Custom reel / continuous tape</v>
      </c>
    </row>
    <row r="20" ht="42" customHeight="1">
      <c r="A20" s="2" t="str">
        <v>P1</v>
      </c>
      <c r="B20" s="2" t="str">
        <v>Resistors</v>
      </c>
      <c r="C20" s="15" t="str">
        <v>49.9 ohm, 1%, &gt;=0.1 W</v>
      </c>
      <c r="D20" s="15" t="str">
        <v>0603 EIA</v>
      </c>
      <c r="E20" s="12" t="n">
        <v>250</v>
      </c>
      <c r="F20" s="12"/>
      <c r="G20" s="12"/>
      <c r="H20" s="13" t="str">
        <f>IF(AND(ISNUMBER(E20),ISNUMBER(F20),ISNUMBER(G20)),MAX(0,E20-F20-G20),"")</f>
      </c>
      <c r="I20" s="2" t="str">
        <v>pcs</v>
      </c>
      <c r="J20" s="2" t="str">
        <v>To select</v>
      </c>
      <c r="K20" s="14"/>
      <c r="L20" s="14" t="str">
        <v>Search supplier</v>
      </c>
      <c r="M20" s="15" t="str">
        <v>Select exact MPN</v>
      </c>
      <c r="N20" s="15" t="str">
        <v>Bias, pull-ups, current limiting or signal termination.</v>
      </c>
      <c r="O20" s="15" t="str">
        <v>Custom reel / continuous tape</v>
      </c>
    </row>
    <row r="21" ht="42" customHeight="1">
      <c r="A21" s="2" t="str">
        <v>P1</v>
      </c>
      <c r="B21" s="2" t="str">
        <v>Resistors</v>
      </c>
      <c r="C21" s="15" t="str">
        <v>220 ohm, 1%, &gt;=0.1 W</v>
      </c>
      <c r="D21" s="15" t="str">
        <v>0603 EIA</v>
      </c>
      <c r="E21" s="12" t="n">
        <v>250</v>
      </c>
      <c r="F21" s="12"/>
      <c r="G21" s="12"/>
      <c r="H21" s="13" t="str">
        <f>IF(AND(ISNUMBER(E21),ISNUMBER(F21),ISNUMBER(G21)),MAX(0,E21-F21-G21),"")</f>
      </c>
      <c r="I21" s="2" t="str">
        <v>pcs</v>
      </c>
      <c r="J21" s="2" t="str">
        <v>To select</v>
      </c>
      <c r="K21" s="14"/>
      <c r="L21" s="14" t="str">
        <v>Search supplier</v>
      </c>
      <c r="M21" s="15" t="str">
        <v>Select exact MPN</v>
      </c>
      <c r="N21" s="15" t="str">
        <v>Bias, pull-ups, current limiting or signal termination.</v>
      </c>
      <c r="O21" s="15" t="str">
        <v>Custom reel / continuous tape</v>
      </c>
    </row>
    <row r="22" ht="42" customHeight="1">
      <c r="A22" s="2" t="str">
        <v>P1</v>
      </c>
      <c r="B22" s="2" t="str">
        <v>Resistors</v>
      </c>
      <c r="C22" s="15" t="str">
        <v>470 ohm, 1%, &gt;=0.1 W</v>
      </c>
      <c r="D22" s="15" t="str">
        <v>0603 EIA</v>
      </c>
      <c r="E22" s="12" t="n">
        <v>250</v>
      </c>
      <c r="F22" s="12"/>
      <c r="G22" s="12"/>
      <c r="H22" s="13" t="str">
        <f>IF(AND(ISNUMBER(E22),ISNUMBER(F22),ISNUMBER(G22)),MAX(0,E22-F22-G22),"")</f>
      </c>
      <c r="I22" s="2" t="str">
        <v>pcs</v>
      </c>
      <c r="J22" s="2" t="str">
        <v>To select</v>
      </c>
      <c r="K22" s="14"/>
      <c r="L22" s="14" t="str">
        <v>Search supplier</v>
      </c>
      <c r="M22" s="15" t="str">
        <v>Select exact MPN</v>
      </c>
      <c r="N22" s="15" t="str">
        <v>Bias, pull-ups, current limiting or signal termination.</v>
      </c>
      <c r="O22" s="15" t="str">
        <v>Custom reel / continuous tape</v>
      </c>
    </row>
    <row r="23" ht="42" customHeight="1">
      <c r="A23" s="2" t="str">
        <v>P1</v>
      </c>
      <c r="B23" s="2" t="str">
        <v>Resistors</v>
      </c>
      <c r="C23" s="15" t="str">
        <v>2.2k ohm, 1%, &gt;=0.1 W</v>
      </c>
      <c r="D23" s="15" t="str">
        <v>0603 EIA</v>
      </c>
      <c r="E23" s="12" t="n">
        <v>250</v>
      </c>
      <c r="F23" s="12"/>
      <c r="G23" s="12"/>
      <c r="H23" s="13" t="str">
        <f>IF(AND(ISNUMBER(E23),ISNUMBER(F23),ISNUMBER(G23)),MAX(0,E23-F23-G23),"")</f>
      </c>
      <c r="I23" s="2" t="str">
        <v>pcs</v>
      </c>
      <c r="J23" s="2" t="str">
        <v>To select</v>
      </c>
      <c r="K23" s="14"/>
      <c r="L23" s="14" t="str">
        <v>Search supplier</v>
      </c>
      <c r="M23" s="15" t="str">
        <v>Select exact MPN</v>
      </c>
      <c r="N23" s="15" t="str">
        <v>Bias, pull-ups, current limiting or signal termination.</v>
      </c>
      <c r="O23" s="15" t="str">
        <v>Custom reel / continuous tape</v>
      </c>
    </row>
    <row r="24" ht="42" customHeight="1">
      <c r="A24" s="2" t="str">
        <v>P1</v>
      </c>
      <c r="B24" s="2" t="str">
        <v>Resistors</v>
      </c>
      <c r="C24" s="15" t="str">
        <v>3.3k ohm, 1%, &gt;=0.1 W</v>
      </c>
      <c r="D24" s="15" t="str">
        <v>0603 EIA</v>
      </c>
      <c r="E24" s="12" t="n">
        <v>250</v>
      </c>
      <c r="F24" s="12"/>
      <c r="G24" s="12"/>
      <c r="H24" s="13" t="str">
        <f>IF(AND(ISNUMBER(E24),ISNUMBER(F24),ISNUMBER(G24)),MAX(0,E24-F24-G24),"")</f>
      </c>
      <c r="I24" s="2" t="str">
        <v>pcs</v>
      </c>
      <c r="J24" s="2" t="str">
        <v>To select</v>
      </c>
      <c r="K24" s="14"/>
      <c r="L24" s="14" t="str">
        <v>Search supplier</v>
      </c>
      <c r="M24" s="15" t="str">
        <v>Select exact MPN</v>
      </c>
      <c r="N24" s="15" t="str">
        <v>Bias, pull-ups, current limiting or signal termination.</v>
      </c>
      <c r="O24" s="15" t="str">
        <v>Custom reel / continuous tape</v>
      </c>
    </row>
    <row r="25" ht="42" customHeight="1">
      <c r="A25" s="2" t="str">
        <v>P1</v>
      </c>
      <c r="B25" s="2" t="str">
        <v>Resistors</v>
      </c>
      <c r="C25" s="15" t="str">
        <v>6.8k ohm, 1%, &gt;=0.1 W</v>
      </c>
      <c r="D25" s="15" t="str">
        <v>0603 EIA</v>
      </c>
      <c r="E25" s="12" t="n">
        <v>250</v>
      </c>
      <c r="F25" s="12"/>
      <c r="G25" s="12"/>
      <c r="H25" s="13" t="str">
        <f>IF(AND(ISNUMBER(E25),ISNUMBER(F25),ISNUMBER(G25)),MAX(0,E25-F25-G25),"")</f>
      </c>
      <c r="I25" s="2" t="str">
        <v>pcs</v>
      </c>
      <c r="J25" s="2" t="str">
        <v>To select</v>
      </c>
      <c r="K25" s="14"/>
      <c r="L25" s="14" t="str">
        <v>Search supplier</v>
      </c>
      <c r="M25" s="15" t="str">
        <v>Select exact MPN</v>
      </c>
      <c r="N25" s="15" t="str">
        <v>Bias, pull-ups, current limiting or signal termination.</v>
      </c>
      <c r="O25" s="15" t="str">
        <v>Custom reel / continuous tape</v>
      </c>
    </row>
    <row r="26" ht="42" customHeight="1">
      <c r="A26" s="2" t="str">
        <v>P1</v>
      </c>
      <c r="B26" s="2" t="str">
        <v>Resistors</v>
      </c>
      <c r="C26" s="15" t="str">
        <v>22k ohm, 1%, &gt;=0.1 W</v>
      </c>
      <c r="D26" s="15" t="str">
        <v>0603 EIA</v>
      </c>
      <c r="E26" s="12" t="n">
        <v>250</v>
      </c>
      <c r="F26" s="12"/>
      <c r="G26" s="12"/>
      <c r="H26" s="13" t="str">
        <f>IF(AND(ISNUMBER(E26),ISNUMBER(F26),ISNUMBER(G26)),MAX(0,E26-F26-G26),"")</f>
      </c>
      <c r="I26" s="2" t="str">
        <v>pcs</v>
      </c>
      <c r="J26" s="2" t="str">
        <v>To select</v>
      </c>
      <c r="K26" s="14"/>
      <c r="L26" s="14" t="str">
        <v>Search supplier</v>
      </c>
      <c r="M26" s="15" t="str">
        <v>Select exact MPN</v>
      </c>
      <c r="N26" s="15" t="str">
        <v>Bias, pull-ups, current limiting or signal termination.</v>
      </c>
      <c r="O26" s="15" t="str">
        <v>Custom reel / continuous tape</v>
      </c>
    </row>
    <row r="27" ht="42" customHeight="1">
      <c r="A27" s="2" t="str">
        <v>P1</v>
      </c>
      <c r="B27" s="2" t="str">
        <v>Resistors</v>
      </c>
      <c r="C27" s="15" t="str">
        <v>47k ohm, 1%, &gt;=0.1 W</v>
      </c>
      <c r="D27" s="15" t="str">
        <v>0603 EIA</v>
      </c>
      <c r="E27" s="12" t="n">
        <v>250</v>
      </c>
      <c r="F27" s="12"/>
      <c r="G27" s="12"/>
      <c r="H27" s="13" t="str">
        <f>IF(AND(ISNUMBER(E27),ISNUMBER(F27),ISNUMBER(G27)),MAX(0,E27-F27-G27),"")</f>
      </c>
      <c r="I27" s="2" t="str">
        <v>pcs</v>
      </c>
      <c r="J27" s="2" t="str">
        <v>To select</v>
      </c>
      <c r="K27" s="14"/>
      <c r="L27" s="14" t="str">
        <v>Search supplier</v>
      </c>
      <c r="M27" s="15" t="str">
        <v>Select exact MPN</v>
      </c>
      <c r="N27" s="15" t="str">
        <v>Bias, pull-ups, current limiting or signal termination.</v>
      </c>
      <c r="O27" s="15" t="str">
        <v>Custom reel / continuous tape</v>
      </c>
    </row>
    <row r="28" ht="42" customHeight="1">
      <c r="A28" s="2" t="str">
        <v>P1</v>
      </c>
      <c r="B28" s="2" t="str">
        <v>Resistors</v>
      </c>
      <c r="C28" s="15" t="str">
        <v>1M ohm, 1%, &gt;=0.1 W</v>
      </c>
      <c r="D28" s="15" t="str">
        <v>0603 EIA</v>
      </c>
      <c r="E28" s="12" t="n">
        <v>250</v>
      </c>
      <c r="F28" s="12"/>
      <c r="G28" s="12"/>
      <c r="H28" s="13" t="str">
        <f>IF(AND(ISNUMBER(E28),ISNUMBER(F28),ISNUMBER(G28)),MAX(0,E28-F28-G28),"")</f>
      </c>
      <c r="I28" s="2" t="str">
        <v>pcs</v>
      </c>
      <c r="J28" s="2" t="str">
        <v>To select</v>
      </c>
      <c r="K28" s="14"/>
      <c r="L28" s="14" t="str">
        <v>Search supplier</v>
      </c>
      <c r="M28" s="15" t="str">
        <v>Select exact MPN</v>
      </c>
      <c r="N28" s="15" t="str">
        <v>Bias, pull-ups, current limiting or signal termination.</v>
      </c>
      <c r="O28" s="15" t="str">
        <v>Custom reel / continuous tape</v>
      </c>
    </row>
    <row r="29" ht="42" customHeight="1">
      <c r="A29" s="2" t="str">
        <v>P2</v>
      </c>
      <c r="B29" s="2" t="str">
        <v>Resistors</v>
      </c>
      <c r="C29" s="15" t="str">
        <v>0 ohm jumper</v>
      </c>
      <c r="D29" s="15" t="str">
        <v>0402 EIA</v>
      </c>
      <c r="E29" s="12" t="n">
        <v>500</v>
      </c>
      <c r="F29" s="12"/>
      <c r="G29" s="12"/>
      <c r="H29" s="13" t="str">
        <f>IF(AND(ISNUMBER(E29),ISNUMBER(F29),ISNUMBER(G29)),MAX(0,E29-F29-G29),"")</f>
      </c>
      <c r="I29" s="2" t="str">
        <v>pcs</v>
      </c>
      <c r="J29" s="2" t="str">
        <v>To select</v>
      </c>
      <c r="K29" s="14"/>
      <c r="L29" s="14" t="str">
        <v>Search supplier</v>
      </c>
      <c r="M29" s="15" t="str">
        <v>Select exact MPN</v>
      </c>
      <c r="N29" s="15" t="str">
        <v>Compact board stock; confirm machine can place 0402.</v>
      </c>
      <c r="O29" s="15" t="str">
        <v>Custom reel / continuous tape</v>
      </c>
    </row>
    <row r="30" ht="42" customHeight="1">
      <c r="A30" s="2" t="str">
        <v>P2</v>
      </c>
      <c r="B30" s="2" t="str">
        <v>Resistors</v>
      </c>
      <c r="C30" s="15" t="str">
        <v>1k ohm, 1%, &gt;=0.0625 W</v>
      </c>
      <c r="D30" s="15" t="str">
        <v>0402 EIA</v>
      </c>
      <c r="E30" s="12" t="n">
        <v>500</v>
      </c>
      <c r="F30" s="12"/>
      <c r="G30" s="12"/>
      <c r="H30" s="13" t="str">
        <f>IF(AND(ISNUMBER(E30),ISNUMBER(F30),ISNUMBER(G30)),MAX(0,E30-F30-G30),"")</f>
      </c>
      <c r="I30" s="2" t="str">
        <v>pcs</v>
      </c>
      <c r="J30" s="2" t="str">
        <v>To select</v>
      </c>
      <c r="K30" s="14"/>
      <c r="L30" s="14" t="str">
        <v>Search supplier</v>
      </c>
      <c r="M30" s="15" t="str">
        <v>Select exact MPN</v>
      </c>
      <c r="N30" s="15" t="str">
        <v>Compact board stock; confirm machine can place 0402.</v>
      </c>
      <c r="O30" s="15" t="str">
        <v>Custom reel / continuous tape</v>
      </c>
    </row>
    <row r="31" ht="42" customHeight="1">
      <c r="A31" s="2" t="str">
        <v>P2</v>
      </c>
      <c r="B31" s="2" t="str">
        <v>Resistors</v>
      </c>
      <c r="C31" s="15" t="str">
        <v>4.7k ohm, 1%, &gt;=0.0625 W</v>
      </c>
      <c r="D31" s="15" t="str">
        <v>0402 EIA</v>
      </c>
      <c r="E31" s="12" t="n">
        <v>500</v>
      </c>
      <c r="F31" s="12"/>
      <c r="G31" s="12"/>
      <c r="H31" s="13" t="str">
        <f>IF(AND(ISNUMBER(E31),ISNUMBER(F31),ISNUMBER(G31)),MAX(0,E31-F31-G31),"")</f>
      </c>
      <c r="I31" s="2" t="str">
        <v>pcs</v>
      </c>
      <c r="J31" s="2" t="str">
        <v>To select</v>
      </c>
      <c r="K31" s="14"/>
      <c r="L31" s="14" t="str">
        <v>Search supplier</v>
      </c>
      <c r="M31" s="15" t="str">
        <v>Select exact MPN</v>
      </c>
      <c r="N31" s="15" t="str">
        <v>Compact board stock; confirm machine can place 0402.</v>
      </c>
      <c r="O31" s="15" t="str">
        <v>Custom reel / continuous tape</v>
      </c>
    </row>
    <row r="32" ht="42" customHeight="1">
      <c r="A32" s="2" t="str">
        <v>P2</v>
      </c>
      <c r="B32" s="2" t="str">
        <v>Resistors</v>
      </c>
      <c r="C32" s="15" t="str">
        <v>10k ohm, 1%, &gt;=0.0625 W</v>
      </c>
      <c r="D32" s="15" t="str">
        <v>0402 EIA</v>
      </c>
      <c r="E32" s="12" t="n">
        <v>500</v>
      </c>
      <c r="F32" s="12"/>
      <c r="G32" s="12"/>
      <c r="H32" s="13" t="str">
        <f>IF(AND(ISNUMBER(E32),ISNUMBER(F32),ISNUMBER(G32)),MAX(0,E32-F32-G32),"")</f>
      </c>
      <c r="I32" s="2" t="str">
        <v>pcs</v>
      </c>
      <c r="J32" s="2" t="str">
        <v>To select</v>
      </c>
      <c r="K32" s="14"/>
      <c r="L32" s="14" t="str">
        <v>Search supplier</v>
      </c>
      <c r="M32" s="15" t="str">
        <v>Select exact MPN</v>
      </c>
      <c r="N32" s="15" t="str">
        <v>Compact board stock; confirm machine can place 0402.</v>
      </c>
      <c r="O32" s="15" t="str">
        <v>Custom reel / continuous tape</v>
      </c>
    </row>
    <row r="33" ht="42" customHeight="1">
      <c r="A33" s="2" t="str">
        <v>P2</v>
      </c>
      <c r="B33" s="2" t="str">
        <v>Resistors</v>
      </c>
      <c r="C33" s="15" t="str">
        <v>100k ohm, 1%, &gt;=0.0625 W</v>
      </c>
      <c r="D33" s="15" t="str">
        <v>0402 EIA</v>
      </c>
      <c r="E33" s="12" t="n">
        <v>500</v>
      </c>
      <c r="F33" s="12"/>
      <c r="G33" s="12"/>
      <c r="H33" s="13" t="str">
        <f>IF(AND(ISNUMBER(E33),ISNUMBER(F33),ISNUMBER(G33)),MAX(0,E33-F33-G33),"")</f>
      </c>
      <c r="I33" s="2" t="str">
        <v>pcs</v>
      </c>
      <c r="J33" s="2" t="str">
        <v>To select</v>
      </c>
      <c r="K33" s="14"/>
      <c r="L33" s="14" t="str">
        <v>Search supplier</v>
      </c>
      <c r="M33" s="15" t="str">
        <v>Select exact MPN</v>
      </c>
      <c r="N33" s="15" t="str">
        <v>Compact board stock; confirm machine can place 0402.</v>
      </c>
      <c r="O33" s="15" t="str">
        <v>Custom reel / continuous tape</v>
      </c>
    </row>
    <row r="34" ht="42" customHeight="1">
      <c r="A34" s="2" t="str">
        <v>P1</v>
      </c>
      <c r="B34" s="2" t="str">
        <v>Capacitors</v>
      </c>
      <c r="C34" s="15" t="str">
        <v>100 nF X7R 25 V 10%</v>
      </c>
      <c r="D34" s="15" t="str">
        <v>0603 EIA</v>
      </c>
      <c r="E34" s="12" t="n">
        <v>2000</v>
      </c>
      <c r="F34" s="12"/>
      <c r="G34" s="12"/>
      <c r="H34" s="13" t="str">
        <f>IF(AND(ISNUMBER(E34),ISNUMBER(F34),ISNUMBER(G34)),MAX(0,E34-F34-G34),"")</f>
      </c>
      <c r="I34" s="2" t="str">
        <v>pcs</v>
      </c>
      <c r="J34" s="2" t="str">
        <v>To select</v>
      </c>
      <c r="K34" s="14"/>
      <c r="L34" s="14" t="str">
        <v>Search supplier</v>
      </c>
      <c r="M34" s="15" t="str">
        <v>Select exact MPN</v>
      </c>
      <c r="N34" s="15" t="str">
        <v>Decoupling/filtering; check effective capacitance at working voltage.</v>
      </c>
      <c r="O34" s="15" t="str">
        <v>Custom reel / continuous tape</v>
      </c>
    </row>
    <row r="35" ht="42" customHeight="1">
      <c r="A35" s="2" t="str">
        <v>P1</v>
      </c>
      <c r="B35" s="2" t="str">
        <v>Capacitors</v>
      </c>
      <c r="C35" s="15" t="str">
        <v>1 uF X7R 16 V 10%</v>
      </c>
      <c r="D35" s="15" t="str">
        <v>0603 EIA</v>
      </c>
      <c r="E35" s="12" t="n">
        <v>1000</v>
      </c>
      <c r="F35" s="12"/>
      <c r="G35" s="12"/>
      <c r="H35" s="13" t="str">
        <f>IF(AND(ISNUMBER(E35),ISNUMBER(F35),ISNUMBER(G35)),MAX(0,E35-F35-G35),"")</f>
      </c>
      <c r="I35" s="2" t="str">
        <v>pcs</v>
      </c>
      <c r="J35" s="2" t="str">
        <v>To select</v>
      </c>
      <c r="K35" s="14"/>
      <c r="L35" s="14" t="str">
        <v>Search supplier</v>
      </c>
      <c r="M35" s="15" t="str">
        <v>Select exact MPN</v>
      </c>
      <c r="N35" s="15" t="str">
        <v>Decoupling/filtering; check effective capacitance at working voltage.</v>
      </c>
      <c r="O35" s="15" t="str">
        <v>Custom reel / continuous tape</v>
      </c>
    </row>
    <row r="36" ht="42" customHeight="1">
      <c r="A36" s="2" t="str">
        <v>P1</v>
      </c>
      <c r="B36" s="2" t="str">
        <v>Capacitors</v>
      </c>
      <c r="C36" s="15" t="str">
        <v>1 nF X7R 50 V 10%</v>
      </c>
      <c r="D36" s="15" t="str">
        <v>0603 EIA</v>
      </c>
      <c r="E36" s="12" t="n">
        <v>250</v>
      </c>
      <c r="F36" s="12"/>
      <c r="G36" s="12"/>
      <c r="H36" s="13" t="str">
        <f>IF(AND(ISNUMBER(E36),ISNUMBER(F36),ISNUMBER(G36)),MAX(0,E36-F36-G36),"")</f>
      </c>
      <c r="I36" s="2" t="str">
        <v>pcs</v>
      </c>
      <c r="J36" s="2" t="str">
        <v>To select</v>
      </c>
      <c r="K36" s="14"/>
      <c r="L36" s="14" t="str">
        <v>Search supplier</v>
      </c>
      <c r="M36" s="15" t="str">
        <v>Select exact MPN</v>
      </c>
      <c r="N36" s="15" t="str">
        <v>Decoupling/filtering; check effective capacitance at working voltage.</v>
      </c>
      <c r="O36" s="15" t="str">
        <v>Custom reel / continuous tape</v>
      </c>
    </row>
    <row r="37" ht="42" customHeight="1">
      <c r="A37" s="2" t="str">
        <v>P1</v>
      </c>
      <c r="B37" s="2" t="str">
        <v>Capacitors</v>
      </c>
      <c r="C37" s="15" t="str">
        <v>10 nF X7R 50 V 10%</v>
      </c>
      <c r="D37" s="15" t="str">
        <v>0603 EIA</v>
      </c>
      <c r="E37" s="12" t="n">
        <v>250</v>
      </c>
      <c r="F37" s="12"/>
      <c r="G37" s="12"/>
      <c r="H37" s="13" t="str">
        <f>IF(AND(ISNUMBER(E37),ISNUMBER(F37),ISNUMBER(G37)),MAX(0,E37-F37-G37),"")</f>
      </c>
      <c r="I37" s="2" t="str">
        <v>pcs</v>
      </c>
      <c r="J37" s="2" t="str">
        <v>To select</v>
      </c>
      <c r="K37" s="14"/>
      <c r="L37" s="14" t="str">
        <v>Search supplier</v>
      </c>
      <c r="M37" s="15" t="str">
        <v>Select exact MPN</v>
      </c>
      <c r="N37" s="15" t="str">
        <v>Decoupling/filtering; check effective capacitance at working voltage.</v>
      </c>
      <c r="O37" s="15" t="str">
        <v>Custom reel / continuous tape</v>
      </c>
    </row>
    <row r="38" ht="42" customHeight="1">
      <c r="A38" s="2" t="str">
        <v>P1</v>
      </c>
      <c r="B38" s="2" t="str">
        <v>Capacitors</v>
      </c>
      <c r="C38" s="15" t="str">
        <v>4.7 uF X7R 16 V 10%</v>
      </c>
      <c r="D38" s="15" t="str">
        <v>0805 EIA</v>
      </c>
      <c r="E38" s="12" t="n">
        <v>250</v>
      </c>
      <c r="F38" s="12"/>
      <c r="G38" s="12"/>
      <c r="H38" s="13" t="str">
        <f>IF(AND(ISNUMBER(E38),ISNUMBER(F38),ISNUMBER(G38)),MAX(0,E38-F38-G38),"")</f>
      </c>
      <c r="I38" s="2" t="str">
        <v>pcs</v>
      </c>
      <c r="J38" s="2" t="str">
        <v>To select</v>
      </c>
      <c r="K38" s="14"/>
      <c r="L38" s="14" t="str">
        <v>Search supplier</v>
      </c>
      <c r="M38" s="15" t="str">
        <v>Select exact MPN</v>
      </c>
      <c r="N38" s="15" t="str">
        <v>Decoupling/filtering; check effective capacitance at working voltage.</v>
      </c>
      <c r="O38" s="15" t="str">
        <v>Custom reel / continuous tape</v>
      </c>
    </row>
    <row r="39" ht="42" customHeight="1">
      <c r="A39" s="2" t="str">
        <v>P1</v>
      </c>
      <c r="B39" s="2" t="str">
        <v>Capacitors</v>
      </c>
      <c r="C39" s="15" t="str">
        <v>10 uF X7R 16 V 10%</v>
      </c>
      <c r="D39" s="15" t="str">
        <v>0805 EIA</v>
      </c>
      <c r="E39" s="12" t="n">
        <v>250</v>
      </c>
      <c r="F39" s="12"/>
      <c r="G39" s="12"/>
      <c r="H39" s="13" t="str">
        <f>IF(AND(ISNUMBER(E39),ISNUMBER(F39),ISNUMBER(G39)),MAX(0,E39-F39-G39),"")</f>
      </c>
      <c r="I39" s="2" t="str">
        <v>pcs</v>
      </c>
      <c r="J39" s="2" t="str">
        <v>To select</v>
      </c>
      <c r="K39" s="14"/>
      <c r="L39" s="14" t="str">
        <v>Search supplier</v>
      </c>
      <c r="M39" s="15" t="str">
        <v>Select exact MPN</v>
      </c>
      <c r="N39" s="15" t="str">
        <v>Decoupling/filtering; check effective capacitance at working voltage.</v>
      </c>
      <c r="O39" s="15" t="str">
        <v>Custom reel / continuous tape</v>
      </c>
    </row>
    <row r="40" ht="42" customHeight="1">
      <c r="A40" s="2" t="str">
        <v>P2</v>
      </c>
      <c r="B40" s="2" t="str">
        <v>Capacitors</v>
      </c>
      <c r="C40" s="15" t="str">
        <v>22 pF C0G 50 V 5%</v>
      </c>
      <c r="D40" s="15" t="str">
        <v>0603 EIA</v>
      </c>
      <c r="E40" s="12" t="n">
        <v>100</v>
      </c>
      <c r="F40" s="12"/>
      <c r="G40" s="12"/>
      <c r="H40" s="13" t="str">
        <f>IF(AND(ISNUMBER(E40),ISNUMBER(F40),ISNUMBER(G40)),MAX(0,E40-F40-G40),"")</f>
      </c>
      <c r="I40" s="2" t="str">
        <v>pcs</v>
      </c>
      <c r="J40" s="2" t="str">
        <v>To select</v>
      </c>
      <c r="K40" s="14"/>
      <c r="L40" s="14" t="str">
        <v>Search supplier</v>
      </c>
      <c r="M40" s="15" t="str">
        <v>Select exact MPN</v>
      </c>
      <c r="N40" s="15" t="str">
        <v>Stable signal/timing capacitance; crystal loading is circuit-specific.</v>
      </c>
      <c r="O40" s="15" t="str">
        <v>Custom reel / continuous tape</v>
      </c>
    </row>
    <row r="41" ht="42" customHeight="1">
      <c r="A41" s="2" t="str">
        <v>P2</v>
      </c>
      <c r="B41" s="2" t="str">
        <v>Capacitors</v>
      </c>
      <c r="C41" s="15" t="str">
        <v>47 pF C0G 50 V 5%</v>
      </c>
      <c r="D41" s="15" t="str">
        <v>0603 EIA</v>
      </c>
      <c r="E41" s="12" t="n">
        <v>100</v>
      </c>
      <c r="F41" s="12"/>
      <c r="G41" s="12"/>
      <c r="H41" s="13" t="str">
        <f>IF(AND(ISNUMBER(E41),ISNUMBER(F41),ISNUMBER(G41)),MAX(0,E41-F41-G41),"")</f>
      </c>
      <c r="I41" s="2" t="str">
        <v>pcs</v>
      </c>
      <c r="J41" s="2" t="str">
        <v>To select</v>
      </c>
      <c r="K41" s="14"/>
      <c r="L41" s="14" t="str">
        <v>Search supplier</v>
      </c>
      <c r="M41" s="15" t="str">
        <v>Select exact MPN</v>
      </c>
      <c r="N41" s="15" t="str">
        <v>Stable signal/timing capacitance; crystal loading is circuit-specific.</v>
      </c>
      <c r="O41" s="15" t="str">
        <v>Custom reel / continuous tape</v>
      </c>
    </row>
    <row r="42" ht="42" customHeight="1">
      <c r="A42" s="2" t="str">
        <v>P2</v>
      </c>
      <c r="B42" s="2" t="str">
        <v>Capacitors</v>
      </c>
      <c r="C42" s="15" t="str">
        <v>100 pF C0G 50 V 5%</v>
      </c>
      <c r="D42" s="15" t="str">
        <v>0603 EIA</v>
      </c>
      <c r="E42" s="12" t="n">
        <v>100</v>
      </c>
      <c r="F42" s="12"/>
      <c r="G42" s="12"/>
      <c r="H42" s="13" t="str">
        <f>IF(AND(ISNUMBER(E42),ISNUMBER(F42),ISNUMBER(G42)),MAX(0,E42-F42-G42),"")</f>
      </c>
      <c r="I42" s="2" t="str">
        <v>pcs</v>
      </c>
      <c r="J42" s="2" t="str">
        <v>To select</v>
      </c>
      <c r="K42" s="14"/>
      <c r="L42" s="14" t="str">
        <v>Search supplier</v>
      </c>
      <c r="M42" s="15" t="str">
        <v>Select exact MPN</v>
      </c>
      <c r="N42" s="15" t="str">
        <v>Stable signal/timing capacitance; crystal loading is circuit-specific.</v>
      </c>
      <c r="O42" s="15" t="str">
        <v>Custom reel / continuous tape</v>
      </c>
    </row>
    <row r="43" ht="42" customHeight="1">
      <c r="A43" s="2" t="str">
        <v>P2</v>
      </c>
      <c r="B43" s="2" t="str">
        <v>Capacitors</v>
      </c>
      <c r="C43" s="15" t="str">
        <v>1 nF C0G 50 V 5%</v>
      </c>
      <c r="D43" s="15" t="str">
        <v>0603 EIA</v>
      </c>
      <c r="E43" s="12" t="n">
        <v>100</v>
      </c>
      <c r="F43" s="12"/>
      <c r="G43" s="12"/>
      <c r="H43" s="13" t="str">
        <f>IF(AND(ISNUMBER(E43),ISNUMBER(F43),ISNUMBER(G43)),MAX(0,E43-F43-G43),"")</f>
      </c>
      <c r="I43" s="2" t="str">
        <v>pcs</v>
      </c>
      <c r="J43" s="2" t="str">
        <v>To select</v>
      </c>
      <c r="K43" s="14"/>
      <c r="L43" s="14" t="str">
        <v>Search supplier</v>
      </c>
      <c r="M43" s="15" t="str">
        <v>Select exact MPN</v>
      </c>
      <c r="N43" s="15" t="str">
        <v>Stable signal/timing capacitance; crystal loading is circuit-specific.</v>
      </c>
      <c r="O43" s="15" t="str">
        <v>Custom reel / continuous tape</v>
      </c>
    </row>
    <row r="44" ht="42" customHeight="1">
      <c r="A44" s="2" t="str">
        <v>P2</v>
      </c>
      <c r="B44" s="2" t="str">
        <v>Capacitors</v>
      </c>
      <c r="C44" s="15" t="str">
        <v>100 nF X7R 16 V 10%</v>
      </c>
      <c r="D44" s="15" t="str">
        <v>0402 EIA</v>
      </c>
      <c r="E44" s="12" t="n">
        <v>1000</v>
      </c>
      <c r="F44" s="12"/>
      <c r="G44" s="12"/>
      <c r="H44" s="13" t="str">
        <f>IF(AND(ISNUMBER(E44),ISNUMBER(F44),ISNUMBER(G44)),MAX(0,E44-F44-G44),"")</f>
      </c>
      <c r="I44" s="2" t="str">
        <v>pcs</v>
      </c>
      <c r="J44" s="2" t="str">
        <v>To select</v>
      </c>
      <c r="K44" s="14"/>
      <c r="L44" s="14" t="str">
        <v>Search supplier</v>
      </c>
      <c r="M44" s="15" t="str">
        <v>Select exact MPN</v>
      </c>
      <c r="N44" s="15" t="str">
        <v>Compact decoupling stock; confirm machine capability.</v>
      </c>
      <c r="O44" s="15" t="str">
        <v>Custom reel / continuous tape</v>
      </c>
    </row>
    <row r="45" ht="42" customHeight="1">
      <c r="A45" s="2" t="str">
        <v>P2</v>
      </c>
      <c r="B45" s="2" t="str">
        <v>Power passives</v>
      </c>
      <c r="C45" s="15" t="str">
        <v>Ferrite bead</v>
      </c>
      <c r="D45" s="15" t="str">
        <v>Circuit-dependent</v>
      </c>
      <c r="E45" s="12" t="n">
        <v>25</v>
      </c>
      <c r="F45" s="12"/>
      <c r="G45" s="12"/>
      <c r="H45" s="13" t="str">
        <f>IF(AND(ISNUMBER(E45),ISNUMBER(F45),ISNUMBER(G45)),MAX(0,E45-F45-G45),"")</f>
      </c>
      <c r="I45" s="2" t="str">
        <v>pcs</v>
      </c>
      <c r="J45" s="2" t="str">
        <v>To select</v>
      </c>
      <c r="K45" s="14"/>
      <c r="L45" s="14" t="str">
        <v>Search supplier</v>
      </c>
      <c r="M45" s="15" t="str">
        <v>Select circuit and MPN</v>
      </c>
      <c r="N45" s="15" t="str">
        <v>Select impedance curve, DC current and DCR.</v>
      </c>
      <c r="O45" s="15" t="str">
        <v>Small tape / evaluation stock</v>
      </c>
    </row>
    <row r="46" ht="42" customHeight="1">
      <c r="A46" s="2" t="str">
        <v>P2</v>
      </c>
      <c r="B46" s="2" t="str">
        <v>Power passives</v>
      </c>
      <c r="C46" s="15" t="str">
        <v>Power inductor</v>
      </c>
      <c r="D46" s="15" t="str">
        <v>Circuit-dependent</v>
      </c>
      <c r="E46" s="12" t="n">
        <v>25</v>
      </c>
      <c r="F46" s="12"/>
      <c r="G46" s="12"/>
      <c r="H46" s="13" t="str">
        <f>IF(AND(ISNUMBER(E46),ISNUMBER(F46),ISNUMBER(G46)),MAX(0,E46-F46-G46),"")</f>
      </c>
      <c r="I46" s="2" t="str">
        <v>pcs</v>
      </c>
      <c r="J46" s="2" t="str">
        <v>To select</v>
      </c>
      <c r="K46" s="14"/>
      <c r="L46" s="14" t="str">
        <v>Search supplier</v>
      </c>
      <c r="M46" s="15" t="str">
        <v>Select circuit and MPN</v>
      </c>
      <c r="N46" s="15" t="str">
        <v>Select inductance, saturation and RMS current for regulator.</v>
      </c>
      <c r="O46" s="15" t="str">
        <v>Small tape / evaluation stock</v>
      </c>
    </row>
    <row r="47" ht="42" customHeight="1">
      <c r="A47" s="2" t="str">
        <v>P2</v>
      </c>
      <c r="B47" s="2" t="str">
        <v>Power passives</v>
      </c>
      <c r="C47" s="15" t="str">
        <v>Bulk aluminum capacitor</v>
      </c>
      <c r="D47" s="15" t="str">
        <v>Circuit-dependent</v>
      </c>
      <c r="E47" s="12" t="n">
        <v>25</v>
      </c>
      <c r="F47" s="12"/>
      <c r="G47" s="12"/>
      <c r="H47" s="13" t="str">
        <f>IF(AND(ISNUMBER(E47),ISNUMBER(F47),ISNUMBER(G47)),MAX(0,E47-F47-G47),"")</f>
      </c>
      <c r="I47" s="2" t="str">
        <v>pcs</v>
      </c>
      <c r="J47" s="2" t="str">
        <v>To select</v>
      </c>
      <c r="K47" s="14"/>
      <c r="L47" s="14" t="str">
        <v>Search supplier</v>
      </c>
      <c r="M47" s="15" t="str">
        <v>Select circuit and MPN</v>
      </c>
      <c r="N47" s="15" t="str">
        <v>Select capacitance, voltage, ESR, ripple current and life.</v>
      </c>
      <c r="O47" s="15" t="str">
        <v>Small tape / evaluation stock</v>
      </c>
    </row>
    <row r="48" ht="42" customHeight="1">
      <c r="A48" s="2" t="str">
        <v>P2</v>
      </c>
      <c r="B48" s="2" t="str">
        <v>Power passives</v>
      </c>
      <c r="C48" s="15" t="str">
        <v>Precision shunt resistor</v>
      </c>
      <c r="D48" s="15" t="str">
        <v>Circuit-dependent</v>
      </c>
      <c r="E48" s="12" t="n">
        <v>25</v>
      </c>
      <c r="F48" s="12"/>
      <c r="G48" s="12"/>
      <c r="H48" s="13" t="str">
        <f>IF(AND(ISNUMBER(E48),ISNUMBER(F48),ISNUMBER(G48)),MAX(0,E48-F48-G48),"")</f>
      </c>
      <c r="I48" s="2" t="str">
        <v>pcs</v>
      </c>
      <c r="J48" s="2" t="str">
        <v>To select</v>
      </c>
      <c r="K48" s="14"/>
      <c r="L48" s="14" t="str">
        <v>Search supplier</v>
      </c>
      <c r="M48" s="15" t="str">
        <v>Select circuit and MPN</v>
      </c>
      <c r="N48" s="15" t="str">
        <v>Select resistance, power, tolerance and Kelvin footprint.</v>
      </c>
      <c r="O48" s="15" t="str">
        <v>Small tape / evaluation stock</v>
      </c>
    </row>
    <row r="49" ht="42" customHeight="1">
      <c r="A49" s="2" t="str">
        <v>P1</v>
      </c>
      <c r="B49" s="2" t="str">
        <v>Common ICs</v>
      </c>
      <c r="C49" s="15" t="str">
        <v>3.3 V LDO</v>
      </c>
      <c r="D49" s="15" t="str">
        <v>SOT-23-5</v>
      </c>
      <c r="E49" s="12" t="n">
        <v>50</v>
      </c>
      <c r="F49" s="12"/>
      <c r="G49" s="12"/>
      <c r="H49" s="13" t="str">
        <f>IF(AND(ISNUMBER(E49),ISNUMBER(F49),ISNUMBER(G49)),MAX(0,E49-F49-G49),"")</f>
      </c>
      <c r="I49" s="2" t="str">
        <v>pcs</v>
      </c>
      <c r="J49" s="2" t="str">
        <v>TLV755P</v>
      </c>
      <c r="K49" s="14" t="str">
        <v>Manufacturer page</v>
      </c>
      <c r="L49" s="14" t="str">
        <v>Search supplier</v>
      </c>
      <c r="M49" s="15" t="str">
        <v>Select full order suffix</v>
      </c>
      <c r="N49" s="15" t="str">
        <v>Local regulated rail. Input max 5.5 V; cannot use directly on 4S.</v>
      </c>
      <c r="O49" s="15" t="str">
        <v>Custom reel / continuous tape</v>
      </c>
    </row>
    <row r="50" ht="42" customHeight="1">
      <c r="A50" s="2" t="str">
        <v>P1</v>
      </c>
      <c r="B50" s="2" t="str">
        <v>Common ICs</v>
      </c>
      <c r="C50" s="15" t="str">
        <v>1.8 V LDO</v>
      </c>
      <c r="D50" s="15" t="str">
        <v>SOT-23-5</v>
      </c>
      <c r="E50" s="12" t="n">
        <v>25</v>
      </c>
      <c r="F50" s="12"/>
      <c r="G50" s="12"/>
      <c r="H50" s="13" t="str">
        <f>IF(AND(ISNUMBER(E50),ISNUMBER(F50),ISNUMBER(G50)),MAX(0,E50-F50-G50),"")</f>
      </c>
      <c r="I50" s="2" t="str">
        <v>pcs</v>
      </c>
      <c r="J50" s="2" t="str">
        <v>TLV755P</v>
      </c>
      <c r="K50" s="14" t="str">
        <v>Manufacturer page</v>
      </c>
      <c r="L50" s="14" t="str">
        <v>Search supplier</v>
      </c>
      <c r="M50" s="15" t="str">
        <v>Select full order suffix</v>
      </c>
      <c r="N50" s="15" t="str">
        <v>Local 1.8 V rail. Choose fixed 1.8 V order code.</v>
      </c>
      <c r="O50" s="15" t="str">
        <v>Custom reel / continuous tape</v>
      </c>
    </row>
    <row r="51" ht="42" customHeight="1">
      <c r="A51" s="2" t="str">
        <v>P1</v>
      </c>
      <c r="B51" s="2" t="str">
        <v>Common ICs</v>
      </c>
      <c r="C51" s="15" t="str">
        <v>Dual op amp</v>
      </c>
      <c r="D51" s="15" t="str">
        <v>SOIC-8</v>
      </c>
      <c r="E51" s="12" t="n">
        <v>25</v>
      </c>
      <c r="F51" s="12"/>
      <c r="G51" s="12"/>
      <c r="H51" s="13" t="str">
        <f>IF(AND(ISNUMBER(E51),ISNUMBER(F51),ISNUMBER(G51)),MAX(0,E51-F51-G51),"")</f>
      </c>
      <c r="I51" s="2" t="str">
        <v>pcs</v>
      </c>
      <c r="J51" s="2" t="str">
        <v>TLV9002</v>
      </c>
      <c r="K51" s="14" t="str">
        <v>Manufacturer page</v>
      </c>
      <c r="L51" s="14" t="str">
        <v>Search supplier</v>
      </c>
      <c r="M51" s="15" t="str">
        <v>Select full order suffix</v>
      </c>
      <c r="N51" s="15" t="str">
        <v>Amplifies, buffers and filters low-voltage analog signals.</v>
      </c>
      <c r="O51" s="15" t="str">
        <v>Custom reel / continuous tape</v>
      </c>
    </row>
    <row r="52" ht="42" customHeight="1">
      <c r="A52" s="2" t="str">
        <v>P1</v>
      </c>
      <c r="B52" s="2" t="str">
        <v>Common ICs</v>
      </c>
      <c r="C52" s="15" t="str">
        <v>Comparator</v>
      </c>
      <c r="D52" s="15" t="str">
        <v>SOT-23-5</v>
      </c>
      <c r="E52" s="12" t="n">
        <v>25</v>
      </c>
      <c r="F52" s="12"/>
      <c r="G52" s="12"/>
      <c r="H52" s="13" t="str">
        <f>IF(AND(ISNUMBER(E52),ISNUMBER(F52),ISNUMBER(G52)),MAX(0,E52-F52-G52),"")</f>
      </c>
      <c r="I52" s="2" t="str">
        <v>pcs</v>
      </c>
      <c r="J52" s="2" t="str">
        <v>TLV3201</v>
      </c>
      <c r="K52" s="14" t="str">
        <v>Manufacturer page</v>
      </c>
      <c r="L52" s="14" t="str">
        <v>Search supplier</v>
      </c>
      <c r="M52" s="15" t="str">
        <v>Select full order suffix</v>
      </c>
      <c r="N52" s="15" t="str">
        <v>Converts an analog threshold crossing to a logic signal.</v>
      </c>
      <c r="O52" s="15" t="str">
        <v>Custom reel / continuous tape</v>
      </c>
    </row>
    <row r="53" ht="42" customHeight="1">
      <c r="A53" s="2" t="str">
        <v>P1</v>
      </c>
      <c r="B53" s="2" t="str">
        <v>Common ICs</v>
      </c>
      <c r="C53" s="15" t="str">
        <v>Schmitt inverter</v>
      </c>
      <c r="D53" s="15" t="str">
        <v>SOT-23-5</v>
      </c>
      <c r="E53" s="12" t="n">
        <v>50</v>
      </c>
      <c r="F53" s="12"/>
      <c r="G53" s="12"/>
      <c r="H53" s="13" t="str">
        <f>IF(AND(ISNUMBER(E53),ISNUMBER(F53),ISNUMBER(G53)),MAX(0,E53-F53-G53),"")</f>
      </c>
      <c r="I53" s="2" t="str">
        <v>pcs</v>
      </c>
      <c r="J53" s="2" t="str">
        <v>SN74LVC1G14</v>
      </c>
      <c r="K53" s="14" t="str">
        <v>Manufacturer page</v>
      </c>
      <c r="L53" s="14" t="str">
        <v>Search supplier</v>
      </c>
      <c r="M53" s="15" t="str">
        <v>Select full order suffix</v>
      </c>
      <c r="N53" s="15" t="str">
        <v>Cleans slow/noisy digital edges and inverts logic.</v>
      </c>
      <c r="O53" s="15" t="str">
        <v>Custom reel / continuous tape</v>
      </c>
    </row>
    <row r="54" ht="42" customHeight="1">
      <c r="A54" s="2" t="str">
        <v>P1</v>
      </c>
      <c r="B54" s="2" t="str">
        <v>Common ICs</v>
      </c>
      <c r="C54" s="15" t="str">
        <v>Tri-state buffer</v>
      </c>
      <c r="D54" s="15" t="str">
        <v>SOT-23-5</v>
      </c>
      <c r="E54" s="12" t="n">
        <v>50</v>
      </c>
      <c r="F54" s="12"/>
      <c r="G54" s="12"/>
      <c r="H54" s="13" t="str">
        <f>IF(AND(ISNUMBER(E54),ISNUMBER(F54),ISNUMBER(G54)),MAX(0,E54-F54-G54),"")</f>
      </c>
      <c r="I54" s="2" t="str">
        <v>pcs</v>
      </c>
      <c r="J54" s="2" t="str">
        <v>SN74LVC1G125</v>
      </c>
      <c r="K54" s="14" t="str">
        <v>Manufacturer page</v>
      </c>
      <c r="L54" s="14" t="str">
        <v>Search supplier</v>
      </c>
      <c r="M54" s="15" t="str">
        <v>Select full order suffix</v>
      </c>
      <c r="N54" s="15" t="str">
        <v>Buffers a logic signal with output enable control.</v>
      </c>
      <c r="O54" s="15" t="str">
        <v>Custom reel / continuous tape</v>
      </c>
    </row>
    <row r="55" ht="42" customHeight="1">
      <c r="A55" s="2" t="str">
        <v>P1</v>
      </c>
      <c r="B55" s="2" t="str">
        <v>Common ICs</v>
      </c>
      <c r="C55" s="15" t="str">
        <v>Level translator</v>
      </c>
      <c r="D55" s="15" t="str">
        <v>SOT-23-6</v>
      </c>
      <c r="E55" s="12" t="n">
        <v>25</v>
      </c>
      <c r="F55" s="12"/>
      <c r="G55" s="12"/>
      <c r="H55" s="13" t="str">
        <f>IF(AND(ISNUMBER(E55),ISNUMBER(F55),ISNUMBER(G55)),MAX(0,E55-F55-G55),"")</f>
      </c>
      <c r="I55" s="2" t="str">
        <v>pcs</v>
      </c>
      <c r="J55" s="2" t="str">
        <v>SN74LVC1T45</v>
      </c>
      <c r="K55" s="14" t="str">
        <v>Manufacturer page</v>
      </c>
      <c r="L55" s="14" t="str">
        <v>Search supplier</v>
      </c>
      <c r="M55" s="15" t="str">
        <v>Select full order suffix</v>
      </c>
      <c r="N55" s="15" t="str">
        <v>Direction-controlled push-pull translation; not universal I2C.</v>
      </c>
      <c r="O55" s="15" t="str">
        <v>Custom reel / continuous tape</v>
      </c>
    </row>
    <row r="56" ht="42" customHeight="1">
      <c r="A56" s="2" t="str">
        <v>P1</v>
      </c>
      <c r="B56" s="2" t="str">
        <v>Common ICs</v>
      </c>
      <c r="C56" s="15" t="str">
        <v>Load switch</v>
      </c>
      <c r="D56" s="15" t="str">
        <v>SOT-23-6</v>
      </c>
      <c r="E56" s="12" t="n">
        <v>25</v>
      </c>
      <c r="F56" s="12"/>
      <c r="G56" s="12"/>
      <c r="H56" s="13" t="str">
        <f>IF(AND(ISNUMBER(E56),ISNUMBER(F56),ISNUMBER(G56)),MAX(0,E56-F56-G56),"")</f>
      </c>
      <c r="I56" s="2" t="str">
        <v>pcs</v>
      </c>
      <c r="J56" s="2" t="str">
        <v>TPS22918</v>
      </c>
      <c r="K56" s="14" t="str">
        <v>Manufacturer page</v>
      </c>
      <c r="L56" s="14" t="str">
        <v>Search supplier</v>
      </c>
      <c r="M56" s="15" t="str">
        <v>Select full order suffix</v>
      </c>
      <c r="N56" s="15" t="str">
        <v>Switches local power. Max 5.5 V input; not an eFuse.</v>
      </c>
      <c r="O56" s="15" t="str">
        <v>Custom reel / continuous tape</v>
      </c>
    </row>
    <row r="57" ht="42" customHeight="1">
      <c r="A57" s="2" t="str">
        <v>P2</v>
      </c>
      <c r="B57" s="2" t="str">
        <v>Common ICs</v>
      </c>
      <c r="C57" s="15" t="str">
        <v>Current-sense amplifier</v>
      </c>
      <c r="D57" s="15" t="str">
        <v>SOT-23-5</v>
      </c>
      <c r="E57" s="12" t="n">
        <v>25</v>
      </c>
      <c r="F57" s="12"/>
      <c r="G57" s="12"/>
      <c r="H57" s="13" t="str">
        <f>IF(AND(ISNUMBER(E57),ISNUMBER(F57),ISNUMBER(G57)),MAX(0,E57-F57-G57),"")</f>
      </c>
      <c r="I57" s="2" t="str">
        <v>pcs</v>
      </c>
      <c r="J57" s="2" t="str">
        <v>INA180</v>
      </c>
      <c r="K57" s="14" t="str">
        <v>Manufacturer page</v>
      </c>
      <c r="L57" s="14" t="str">
        <v>Search supplier</v>
      </c>
      <c r="M57" s="15" t="str">
        <v>Select full order suffix</v>
      </c>
      <c r="N57" s="15" t="str">
        <v>Reads shunt voltage; choose one gain and exact pinout variant.</v>
      </c>
      <c r="O57" s="15" t="str">
        <v>Custom reel / continuous tape</v>
      </c>
    </row>
    <row r="58" ht="42" customHeight="1">
      <c r="A58" s="2" t="str">
        <v>P2</v>
      </c>
      <c r="B58" s="2" t="str">
        <v>Common ICs</v>
      </c>
      <c r="C58" s="15" t="str">
        <v>CAN transceiver</v>
      </c>
      <c r="D58" s="15" t="str">
        <v>SOIC-8</v>
      </c>
      <c r="E58" s="12" t="n">
        <v>20</v>
      </c>
      <c r="F58" s="12"/>
      <c r="G58" s="12"/>
      <c r="H58" s="13" t="str">
        <f>IF(AND(ISNUMBER(E58),ISNUMBER(F58),ISNUMBER(G58)),MAX(0,E58-F58-G58),"")</f>
      </c>
      <c r="I58" s="2" t="str">
        <v>pcs</v>
      </c>
      <c r="J58" s="2" t="str">
        <v>TCAN332</v>
      </c>
      <c r="K58" s="14" t="str">
        <v>Manufacturer page</v>
      </c>
      <c r="L58" s="14" t="str">
        <v>Search supplier</v>
      </c>
      <c r="M58" s="15" t="str">
        <v>Select full order suffix</v>
      </c>
      <c r="N58" s="15" t="str">
        <v>Interfaces controller CAN logic to bus wiring.</v>
      </c>
      <c r="O58" s="15" t="str">
        <v>Custom reel / continuous tape</v>
      </c>
    </row>
    <row r="59" ht="42" customHeight="1">
      <c r="A59" s="2" t="str">
        <v>P2</v>
      </c>
      <c r="B59" s="2" t="str">
        <v>Platform parts</v>
      </c>
      <c r="C59" s="15" t="str">
        <v>Microcontroller</v>
      </c>
      <c r="D59" s="15" t="str">
        <v>Select platform</v>
      </c>
      <c r="E59" s="12" t="n">
        <v>20</v>
      </c>
      <c r="F59" s="12"/>
      <c r="G59" s="12"/>
      <c r="H59" s="13" t="str">
        <f>IF(AND(ISNUMBER(E59),ISNUMBER(F59),ISNUMBER(G59)),MAX(0,E59-F59-G59),"")</f>
      </c>
      <c r="I59" s="2" t="str">
        <v>pcs</v>
      </c>
      <c r="J59" s="2" t="str">
        <v>To select</v>
      </c>
      <c r="K59" s="14"/>
      <c r="L59" s="14" t="str">
        <v>Search supplier</v>
      </c>
      <c r="M59" s="15" t="str">
        <v>Select platform and MPN</v>
      </c>
      <c r="N59" s="15" t="str">
        <v>Choose one supported MCU platform and programming tools.</v>
      </c>
      <c r="O59" s="15" t="str">
        <v>Small tape / kits</v>
      </c>
    </row>
    <row r="60" ht="42" customHeight="1">
      <c r="A60" s="2" t="str">
        <v>P2</v>
      </c>
      <c r="B60" s="2" t="str">
        <v>Platform parts</v>
      </c>
      <c r="C60" s="15" t="str">
        <v>SPI flash</v>
      </c>
      <c r="D60" s="15" t="str">
        <v>Select platform</v>
      </c>
      <c r="E60" s="12" t="n">
        <v>20</v>
      </c>
      <c r="F60" s="12"/>
      <c r="G60" s="12"/>
      <c r="H60" s="13" t="str">
        <f>IF(AND(ISNUMBER(E60),ISNUMBER(F60),ISNUMBER(G60)),MAX(0,E60-F60-G60),"")</f>
      </c>
      <c r="I60" s="2" t="str">
        <v>pcs</v>
      </c>
      <c r="J60" s="2" t="str">
        <v>To select</v>
      </c>
      <c r="K60" s="14"/>
      <c r="L60" s="14" t="str">
        <v>Search supplier</v>
      </c>
      <c r="M60" s="15" t="str">
        <v>Select platform and MPN</v>
      </c>
      <c r="N60" s="15" t="str">
        <v>Nonvolatile storage matched to MCU voltage and footprint.</v>
      </c>
      <c r="O60" s="15" t="str">
        <v>Small tape / kits</v>
      </c>
    </row>
    <row r="61" ht="42" customHeight="1">
      <c r="A61" s="2" t="str">
        <v>P2</v>
      </c>
      <c r="B61" s="2" t="str">
        <v>Platform parts</v>
      </c>
      <c r="C61" s="15" t="str">
        <v>I2C EEPROM</v>
      </c>
      <c r="D61" s="15" t="str">
        <v>Select platform</v>
      </c>
      <c r="E61" s="12" t="n">
        <v>20</v>
      </c>
      <c r="F61" s="12"/>
      <c r="G61" s="12"/>
      <c r="H61" s="13" t="str">
        <f>IF(AND(ISNUMBER(E61),ISNUMBER(F61),ISNUMBER(G61)),MAX(0,E61-F61-G61),"")</f>
      </c>
      <c r="I61" s="2" t="str">
        <v>pcs</v>
      </c>
      <c r="J61" s="2" t="str">
        <v>To select</v>
      </c>
      <c r="K61" s="14"/>
      <c r="L61" s="14" t="str">
        <v>Search supplier</v>
      </c>
      <c r="M61" s="15" t="str">
        <v>Select platform and MPN</v>
      </c>
      <c r="N61" s="15" t="str">
        <v>Configuration storage; choose capacity, voltage and address options.</v>
      </c>
      <c r="O61" s="15" t="str">
        <v>Small tape / kits</v>
      </c>
    </row>
    <row r="62" ht="42" customHeight="1">
      <c r="A62" s="2" t="str">
        <v>P2</v>
      </c>
      <c r="B62" s="2" t="str">
        <v>Platform parts</v>
      </c>
      <c r="C62" s="15" t="str">
        <v>RS-485 transceiver</v>
      </c>
      <c r="D62" s="15" t="str">
        <v>Select platform</v>
      </c>
      <c r="E62" s="12" t="n">
        <v>20</v>
      </c>
      <c r="F62" s="12"/>
      <c r="G62" s="12"/>
      <c r="H62" s="13" t="str">
        <f>IF(AND(ISNUMBER(E62),ISNUMBER(F62),ISNUMBER(G62)),MAX(0,E62-F62-G62),"")</f>
      </c>
      <c r="I62" s="2" t="str">
        <v>pcs</v>
      </c>
      <c r="J62" s="2" t="str">
        <v>To select</v>
      </c>
      <c r="K62" s="14"/>
      <c r="L62" s="14" t="str">
        <v>Search supplier</v>
      </c>
      <c r="M62" s="15" t="str">
        <v>Select platform and MPN</v>
      </c>
      <c r="N62" s="15" t="str">
        <v>Differential serial bus; select speed, voltage and protection.</v>
      </c>
      <c r="O62" s="15" t="str">
        <v>Small tape / kits</v>
      </c>
    </row>
    <row r="63" ht="42" customHeight="1">
      <c r="A63" s="2" t="str">
        <v>P2</v>
      </c>
      <c r="B63" s="2" t="str">
        <v>Platform parts</v>
      </c>
      <c r="C63" s="15" t="str">
        <v>I2C level translator</v>
      </c>
      <c r="D63" s="15" t="str">
        <v>Select platform</v>
      </c>
      <c r="E63" s="12" t="n">
        <v>20</v>
      </c>
      <c r="F63" s="12"/>
      <c r="G63" s="12"/>
      <c r="H63" s="13" t="str">
        <f>IF(AND(ISNUMBER(E63),ISNUMBER(F63),ISNUMBER(G63)),MAX(0,E63-F63-G63),"")</f>
      </c>
      <c r="I63" s="2" t="str">
        <v>pcs</v>
      </c>
      <c r="J63" s="2" t="str">
        <v>To select</v>
      </c>
      <c r="K63" s="14"/>
      <c r="L63" s="14" t="str">
        <v>Search supplier</v>
      </c>
      <c r="M63" s="15" t="str">
        <v>Select platform and MPN</v>
      </c>
      <c r="N63" s="15" t="str">
        <v>Open-drain bus translation; check pull-ups and capacitance.</v>
      </c>
      <c r="O63" s="15" t="str">
        <v>Small tape / kits</v>
      </c>
    </row>
    <row r="64" ht="42" customHeight="1">
      <c r="A64" s="2" t="str">
        <v>P2</v>
      </c>
      <c r="B64" s="2" t="str">
        <v>Platform parts</v>
      </c>
      <c r="C64" s="15" t="str">
        <v>Reset supervisor</v>
      </c>
      <c r="D64" s="15" t="str">
        <v>Select platform</v>
      </c>
      <c r="E64" s="12" t="n">
        <v>20</v>
      </c>
      <c r="F64" s="12"/>
      <c r="G64" s="12"/>
      <c r="H64" s="13" t="str">
        <f>IF(AND(ISNUMBER(E64),ISNUMBER(F64),ISNUMBER(G64)),MAX(0,E64-F64-G64),"")</f>
      </c>
      <c r="I64" s="2" t="str">
        <v>pcs</v>
      </c>
      <c r="J64" s="2" t="str">
        <v>To select</v>
      </c>
      <c r="K64" s="14"/>
      <c r="L64" s="14" t="str">
        <v>Search supplier</v>
      </c>
      <c r="M64" s="15" t="str">
        <v>Select platform and MPN</v>
      </c>
      <c r="N64" s="15" t="str">
        <v>Holds processor in reset while supply is invalid.</v>
      </c>
      <c r="O64" s="15" t="str">
        <v>Small tape / kits</v>
      </c>
    </row>
    <row r="65" ht="42" customHeight="1">
      <c r="A65" s="2" t="str">
        <v>P2</v>
      </c>
      <c r="B65" s="2" t="str">
        <v>Platform parts</v>
      </c>
      <c r="C65" s="15" t="str">
        <v>USB UART bridge</v>
      </c>
      <c r="D65" s="15" t="str">
        <v>Select platform</v>
      </c>
      <c r="E65" s="12" t="n">
        <v>10</v>
      </c>
      <c r="F65" s="12"/>
      <c r="G65" s="12"/>
      <c r="H65" s="13" t="str">
        <f>IF(AND(ISNUMBER(E65),ISNUMBER(F65),ISNUMBER(G65)),MAX(0,E65-F65-G65),"")</f>
      </c>
      <c r="I65" s="2" t="str">
        <v>pcs</v>
      </c>
      <c r="J65" s="2" t="str">
        <v>To select</v>
      </c>
      <c r="K65" s="14"/>
      <c r="L65" s="14" t="str">
        <v>Search supplier</v>
      </c>
      <c r="M65" s="15" t="str">
        <v>Select platform and MPN</v>
      </c>
      <c r="N65" s="15" t="str">
        <v>PC serial connection; choose drivers, package and USB interface.</v>
      </c>
      <c r="O65" s="15" t="str">
        <v>Small tape / kits</v>
      </c>
    </row>
    <row r="66" ht="42" customHeight="1">
      <c r="A66" s="2" t="str">
        <v>P2</v>
      </c>
      <c r="B66" s="2" t="str">
        <v>Platform parts</v>
      </c>
      <c r="C66" s="15" t="str">
        <v>Buck regulator circuit kit</v>
      </c>
      <c r="D66" s="15" t="str">
        <v>Select platform</v>
      </c>
      <c r="E66" s="12" t="n">
        <v>10</v>
      </c>
      <c r="F66" s="12"/>
      <c r="G66" s="12"/>
      <c r="H66" s="13" t="str">
        <f>IF(AND(ISNUMBER(E66),ISNUMBER(F66),ISNUMBER(G66)),MAX(0,E66-F66-G66),"")</f>
      </c>
      <c r="I66" s="2" t="str">
        <v>kits</v>
      </c>
      <c r="J66" s="2" t="str">
        <v>To select</v>
      </c>
      <c r="K66" s="14"/>
      <c r="L66" s="14" t="str">
        <v>Search supplier</v>
      </c>
      <c r="M66" s="15" t="str">
        <v>Select platform and MPN</v>
      </c>
      <c r="N66" s="15" t="str">
        <v>Matched regulator, inductor and capacitor kit after circuit selection.</v>
      </c>
      <c r="O66" s="15" t="str">
        <v>Small tape / kits</v>
      </c>
    </row>
    <row r="67" ht="42" customHeight="1">
      <c r="A67" s="2" t="str">
        <v>P2</v>
      </c>
      <c r="B67" s="2" t="str">
        <v>Platform parts</v>
      </c>
      <c r="C67" s="15" t="str">
        <v>IMU</v>
      </c>
      <c r="D67" s="15" t="str">
        <v>Select platform</v>
      </c>
      <c r="E67" s="12" t="n">
        <v>10</v>
      </c>
      <c r="F67" s="12"/>
      <c r="G67" s="12"/>
      <c r="H67" s="13" t="str">
        <f>IF(AND(ISNUMBER(E67),ISNUMBER(F67),ISNUMBER(G67)),MAX(0,E67-F67-G67),"")</f>
      </c>
      <c r="I67" s="2" t="str">
        <v>pcs</v>
      </c>
      <c r="J67" s="2" t="str">
        <v>To select</v>
      </c>
      <c r="K67" s="14"/>
      <c r="L67" s="14" t="str">
        <v>Search supplier</v>
      </c>
      <c r="M67" s="15" t="str">
        <v>Select platform and MPN</v>
      </c>
      <c r="N67" s="15" t="str">
        <v>Motion sensing; choose platform and calibration requirements.</v>
      </c>
      <c r="O67" s="15" t="str">
        <v>Small tape / kits</v>
      </c>
    </row>
    <row r="68" ht="42" customHeight="1">
      <c r="A68" s="2" t="str">
        <v>P2</v>
      </c>
      <c r="B68" s="2" t="str">
        <v>Platform parts</v>
      </c>
      <c r="C68" s="15" t="str">
        <v>Crystal or oscillator</v>
      </c>
      <c r="D68" s="15" t="str">
        <v>Select platform</v>
      </c>
      <c r="E68" s="12" t="n">
        <v>25</v>
      </c>
      <c r="F68" s="12"/>
      <c r="G68" s="12"/>
      <c r="H68" s="13" t="str">
        <f>IF(AND(ISNUMBER(E68),ISNUMBER(F68),ISNUMBER(G68)),MAX(0,E68-F68-G68),"")</f>
      </c>
      <c r="I68" s="2" t="str">
        <v>pcs</v>
      </c>
      <c r="J68" s="2" t="str">
        <v>To select</v>
      </c>
      <c r="K68" s="14"/>
      <c r="L68" s="14" t="str">
        <v>Search supplier</v>
      </c>
      <c r="M68" s="15" t="str">
        <v>Select platform and MPN</v>
      </c>
      <c r="N68" s="15" t="str">
        <v>Clock source matched to MCU electrical and loading needs.</v>
      </c>
      <c r="O68" s="15" t="str">
        <v>Small tape / kits</v>
      </c>
    </row>
    <row r="69" ht="42" customHeight="1">
      <c r="A69" s="2" t="str">
        <v>P1</v>
      </c>
      <c r="B69" s="2" t="str">
        <v>LEDs</v>
      </c>
      <c r="C69" s="15" t="str">
        <v>Red indicator LED</v>
      </c>
      <c r="D69" s="15" t="str">
        <v>0603 EIA</v>
      </c>
      <c r="E69" s="12" t="n">
        <v>250</v>
      </c>
      <c r="F69" s="12"/>
      <c r="G69" s="12"/>
      <c r="H69" s="13" t="str">
        <f>IF(AND(ISNUMBER(E69),ISNUMBER(F69),ISNUMBER(G69)),MAX(0,E69-F69-G69),"")</f>
      </c>
      <c r="I69" s="2" t="str">
        <v>pcs</v>
      </c>
      <c r="J69" s="2" t="str">
        <v>To select</v>
      </c>
      <c r="K69" s="14"/>
      <c r="L69" s="14" t="str">
        <v>Search supplier</v>
      </c>
      <c r="M69" s="15" t="str">
        <v>Select exact MPN</v>
      </c>
      <c r="N69" s="15" t="str">
        <v>Power/status indicator; select brightness and forward voltage.</v>
      </c>
      <c r="O69" s="15" t="str">
        <v>Custom reel / continuous tape</v>
      </c>
    </row>
    <row r="70" ht="42" customHeight="1">
      <c r="A70" s="2" t="str">
        <v>P1</v>
      </c>
      <c r="B70" s="2" t="str">
        <v>LEDs</v>
      </c>
      <c r="C70" s="15" t="str">
        <v>Green indicator LED</v>
      </c>
      <c r="D70" s="15" t="str">
        <v>0603 EIA</v>
      </c>
      <c r="E70" s="12" t="n">
        <v>250</v>
      </c>
      <c r="F70" s="12"/>
      <c r="G70" s="12"/>
      <c r="H70" s="13" t="str">
        <f>IF(AND(ISNUMBER(E70),ISNUMBER(F70),ISNUMBER(G70)),MAX(0,E70-F70-G70),"")</f>
      </c>
      <c r="I70" s="2" t="str">
        <v>pcs</v>
      </c>
      <c r="J70" s="2" t="str">
        <v>To select</v>
      </c>
      <c r="K70" s="14"/>
      <c r="L70" s="14" t="str">
        <v>Search supplier</v>
      </c>
      <c r="M70" s="15" t="str">
        <v>Select exact MPN</v>
      </c>
      <c r="N70" s="15" t="str">
        <v>Power/status indicator; select brightness and forward voltage.</v>
      </c>
      <c r="O70" s="15" t="str">
        <v>Custom reel / continuous tape</v>
      </c>
    </row>
    <row r="71" ht="42" customHeight="1">
      <c r="A71" s="2" t="str">
        <v>P1</v>
      </c>
      <c r="B71" s="2" t="str">
        <v>LEDs</v>
      </c>
      <c r="C71" s="15" t="str">
        <v>Blue indicator LED</v>
      </c>
      <c r="D71" s="15" t="str">
        <v>0603 EIA</v>
      </c>
      <c r="E71" s="12" t="n">
        <v>250</v>
      </c>
      <c r="F71" s="12"/>
      <c r="G71" s="12"/>
      <c r="H71" s="13" t="str">
        <f>IF(AND(ISNUMBER(E71),ISNUMBER(F71),ISNUMBER(G71)),MAX(0,E71-F71-G71),"")</f>
      </c>
      <c r="I71" s="2" t="str">
        <v>pcs</v>
      </c>
      <c r="J71" s="2" t="str">
        <v>To select</v>
      </c>
      <c r="K71" s="14"/>
      <c r="L71" s="14" t="str">
        <v>Search supplier</v>
      </c>
      <c r="M71" s="15" t="str">
        <v>Select exact MPN</v>
      </c>
      <c r="N71" s="15" t="str">
        <v>Power/status indicator; select brightness and forward voltage.</v>
      </c>
      <c r="O71" s="15" t="str">
        <v>Custom reel / continuous tape</v>
      </c>
    </row>
    <row r="72" ht="42" customHeight="1">
      <c r="A72" s="2" t="str">
        <v>P1</v>
      </c>
      <c r="B72" s="2" t="str">
        <v>Transistors</v>
      </c>
      <c r="C72" s="15" t="str">
        <v>NPN switching transistor</v>
      </c>
      <c r="D72" s="15" t="str">
        <v>SOT-23</v>
      </c>
      <c r="E72" s="12" t="n">
        <v>100</v>
      </c>
      <c r="F72" s="12"/>
      <c r="G72" s="12"/>
      <c r="H72" s="13" t="str">
        <f>IF(AND(ISNUMBER(E72),ISNUMBER(F72),ISNUMBER(G72)),MAX(0,E72-F72-G72),"")</f>
      </c>
      <c r="I72" s="2" t="str">
        <v>pcs</v>
      </c>
      <c r="J72" s="2" t="str">
        <v>To select</v>
      </c>
      <c r="K72" s="14"/>
      <c r="L72" s="14" t="str">
        <v>Search supplier</v>
      </c>
      <c r="M72" s="15" t="str">
        <v>Select exact MPN</v>
      </c>
      <c r="N72" s="15" t="str">
        <v>Small load or signal switching; verify pinout and drive voltage.</v>
      </c>
      <c r="O72" s="15" t="str">
        <v>Custom reel / continuous tape</v>
      </c>
    </row>
    <row r="73" ht="42" customHeight="1">
      <c r="A73" s="2" t="str">
        <v>P1</v>
      </c>
      <c r="B73" s="2" t="str">
        <v>Transistors</v>
      </c>
      <c r="C73" s="15" t="str">
        <v>PNP switching transistor</v>
      </c>
      <c r="D73" s="15" t="str">
        <v>SOT-23</v>
      </c>
      <c r="E73" s="12" t="n">
        <v>100</v>
      </c>
      <c r="F73" s="12"/>
      <c r="G73" s="12"/>
      <c r="H73" s="13" t="str">
        <f>IF(AND(ISNUMBER(E73),ISNUMBER(F73),ISNUMBER(G73)),MAX(0,E73-F73-G73),"")</f>
      </c>
      <c r="I73" s="2" t="str">
        <v>pcs</v>
      </c>
      <c r="J73" s="2" t="str">
        <v>To select</v>
      </c>
      <c r="K73" s="14"/>
      <c r="L73" s="14" t="str">
        <v>Search supplier</v>
      </c>
      <c r="M73" s="15" t="str">
        <v>Select exact MPN</v>
      </c>
      <c r="N73" s="15" t="str">
        <v>Small load or signal switching; verify pinout and drive voltage.</v>
      </c>
      <c r="O73" s="15" t="str">
        <v>Custom reel / continuous tape</v>
      </c>
    </row>
    <row r="74" ht="42" customHeight="1">
      <c r="A74" s="2" t="str">
        <v>P1</v>
      </c>
      <c r="B74" s="2" t="str">
        <v>Transistors</v>
      </c>
      <c r="C74" s="15" t="str">
        <v>Logic-level N-MOSFET</v>
      </c>
      <c r="D74" s="15" t="str">
        <v>SOT-23</v>
      </c>
      <c r="E74" s="12" t="n">
        <v>100</v>
      </c>
      <c r="F74" s="12"/>
      <c r="G74" s="12"/>
      <c r="H74" s="13" t="str">
        <f>IF(AND(ISNUMBER(E74),ISNUMBER(F74),ISNUMBER(G74)),MAX(0,E74-F74-G74),"")</f>
      </c>
      <c r="I74" s="2" t="str">
        <v>pcs</v>
      </c>
      <c r="J74" s="2" t="str">
        <v>To select</v>
      </c>
      <c r="K74" s="14"/>
      <c r="L74" s="14" t="str">
        <v>Search supplier</v>
      </c>
      <c r="M74" s="15" t="str">
        <v>Select exact MPN</v>
      </c>
      <c r="N74" s="15" t="str">
        <v>Small load or signal switching; verify pinout and drive voltage.</v>
      </c>
      <c r="O74" s="15" t="str">
        <v>Custom reel / continuous tape</v>
      </c>
    </row>
    <row r="75" ht="42" customHeight="1">
      <c r="A75" s="2" t="str">
        <v>P1</v>
      </c>
      <c r="B75" s="2" t="str">
        <v>Transistors</v>
      </c>
      <c r="C75" s="15" t="str">
        <v>Logic-level P-MOSFET</v>
      </c>
      <c r="D75" s="15" t="str">
        <v>SOT-23</v>
      </c>
      <c r="E75" s="12" t="n">
        <v>100</v>
      </c>
      <c r="F75" s="12"/>
      <c r="G75" s="12"/>
      <c r="H75" s="13" t="str">
        <f>IF(AND(ISNUMBER(E75),ISNUMBER(F75),ISNUMBER(G75)),MAX(0,E75-F75-G75),"")</f>
      </c>
      <c r="I75" s="2" t="str">
        <v>pcs</v>
      </c>
      <c r="J75" s="2" t="str">
        <v>To select</v>
      </c>
      <c r="K75" s="14"/>
      <c r="L75" s="14" t="str">
        <v>Search supplier</v>
      </c>
      <c r="M75" s="15" t="str">
        <v>Select exact MPN</v>
      </c>
      <c r="N75" s="15" t="str">
        <v>Small load or signal switching; verify pinout and drive voltage.</v>
      </c>
      <c r="O75" s="15" t="str">
        <v>Custom reel / continuous tape</v>
      </c>
    </row>
    <row r="76" ht="42" customHeight="1">
      <c r="A76" s="2" t="str">
        <v>P1</v>
      </c>
      <c r="B76" s="2" t="str">
        <v>Diodes</v>
      </c>
      <c r="C76" s="15" t="str">
        <v>Fast small-signal diode</v>
      </c>
      <c r="D76" s="15" t="str">
        <v>Select package</v>
      </c>
      <c r="E76" s="12" t="n">
        <v>100</v>
      </c>
      <c r="F76" s="12"/>
      <c r="G76" s="12"/>
      <c r="H76" s="13" t="str">
        <f>IF(AND(ISNUMBER(E76),ISNUMBER(F76),ISNUMBER(G76)),MAX(0,E76-F76-G76),"")</f>
      </c>
      <c r="I76" s="2" t="str">
        <v>pcs</v>
      </c>
      <c r="J76" s="2" t="str">
        <v>To select</v>
      </c>
      <c r="K76" s="14"/>
      <c r="L76" s="14" t="str">
        <v>Search supplier</v>
      </c>
      <c r="M76" s="15" t="str">
        <v>Select exact MPN</v>
      </c>
      <c r="N76" s="15" t="str">
        <v>Signal steering or small current paths; choose ratings.</v>
      </c>
      <c r="O76" s="15" t="str">
        <v>Custom reel / continuous tape</v>
      </c>
    </row>
    <row r="77" ht="42" customHeight="1">
      <c r="A77" s="2" t="str">
        <v>P1</v>
      </c>
      <c r="B77" s="2" t="str">
        <v>Diodes</v>
      </c>
      <c r="C77" s="15" t="str">
        <v>Small Schottky diode</v>
      </c>
      <c r="D77" s="15" t="str">
        <v>Select package</v>
      </c>
      <c r="E77" s="12" t="n">
        <v>100</v>
      </c>
      <c r="F77" s="12"/>
      <c r="G77" s="12"/>
      <c r="H77" s="13" t="str">
        <f>IF(AND(ISNUMBER(E77),ISNUMBER(F77),ISNUMBER(G77)),MAX(0,E77-F77-G77),"")</f>
      </c>
      <c r="I77" s="2" t="str">
        <v>pcs</v>
      </c>
      <c r="J77" s="2" t="str">
        <v>To select</v>
      </c>
      <c r="K77" s="14"/>
      <c r="L77" s="14" t="str">
        <v>Search supplier</v>
      </c>
      <c r="M77" s="15" t="str">
        <v>Select exact MPN</v>
      </c>
      <c r="N77" s="15" t="str">
        <v>Signal steering or small current paths; choose ratings.</v>
      </c>
      <c r="O77" s="15" t="str">
        <v>Custom reel / continuous tape</v>
      </c>
    </row>
    <row r="78" ht="42" customHeight="1">
      <c r="A78" s="2" t="str">
        <v>P2</v>
      </c>
      <c r="B78" s="2" t="str">
        <v>Protection</v>
      </c>
      <c r="C78" s="15" t="str">
        <v>Low-capacitance ESD array</v>
      </c>
      <c r="D78" s="15" t="str">
        <v>Circuit-dependent</v>
      </c>
      <c r="E78" s="12" t="n">
        <v>50</v>
      </c>
      <c r="F78" s="12"/>
      <c r="G78" s="12"/>
      <c r="H78" s="13" t="str">
        <f>IF(AND(ISNUMBER(E78),ISNUMBER(F78),ISNUMBER(G78)),MAX(0,E78-F78-G78),"")</f>
      </c>
      <c r="I78" s="2" t="str">
        <v>pcs</v>
      </c>
      <c r="J78" s="2" t="str">
        <v>To select</v>
      </c>
      <c r="K78" s="14"/>
      <c r="L78" s="14" t="str">
        <v>Search supplier</v>
      </c>
      <c r="M78" s="15" t="str">
        <v>Select exact MPN</v>
      </c>
      <c r="N78" s="15" t="str">
        <v>Select working/clamp voltage and pulse rating for interface.</v>
      </c>
      <c r="O78" s="15" t="str">
        <v>Custom reel / continuous tape</v>
      </c>
    </row>
    <row r="79" ht="42" customHeight="1">
      <c r="A79" s="2" t="str">
        <v>P2</v>
      </c>
      <c r="B79" s="2" t="str">
        <v>Protection</v>
      </c>
      <c r="C79" s="15" t="str">
        <v>Power-bus TVS diode</v>
      </c>
      <c r="D79" s="15" t="str">
        <v>Circuit-dependent</v>
      </c>
      <c r="E79" s="12" t="n">
        <v>50</v>
      </c>
      <c r="F79" s="12"/>
      <c r="G79" s="12"/>
      <c r="H79" s="13" t="str">
        <f>IF(AND(ISNUMBER(E79),ISNUMBER(F79),ISNUMBER(G79)),MAX(0,E79-F79-G79),"")</f>
      </c>
      <c r="I79" s="2" t="str">
        <v>pcs</v>
      </c>
      <c r="J79" s="2" t="str">
        <v>To select</v>
      </c>
      <c r="K79" s="14"/>
      <c r="L79" s="14" t="str">
        <v>Search supplier</v>
      </c>
      <c r="M79" s="15" t="str">
        <v>Select exact MPN</v>
      </c>
      <c r="N79" s="15" t="str">
        <v>Select working/clamp voltage and pulse rating for interface.</v>
      </c>
      <c r="O79" s="15" t="str">
        <v>Custom reel / continuous tape</v>
      </c>
    </row>
    <row r="80" ht="42" customHeight="1">
      <c r="A80" s="2" t="str">
        <v>P1</v>
      </c>
      <c r="B80" s="2" t="str">
        <v>Interconnect</v>
      </c>
      <c r="C80" s="15" t="str">
        <v>2.54 mm male breakaway header</v>
      </c>
      <c r="D80" s="15" t="str">
        <v>Select footprint</v>
      </c>
      <c r="E80" s="12" t="n">
        <v>25</v>
      </c>
      <c r="F80" s="12"/>
      <c r="G80" s="12"/>
      <c r="H80" s="13" t="str">
        <f>IF(AND(ISNUMBER(E80),ISNUMBER(F80),ISNUMBER(G80)),MAX(0,E80-F80-G80),"")</f>
      </c>
      <c r="I80" s="2" t="str">
        <v>strips</v>
      </c>
      <c r="J80" s="2" t="str">
        <v>To select</v>
      </c>
      <c r="K80" s="14"/>
      <c r="L80" s="14" t="str">
        <v>Search supplier</v>
      </c>
      <c r="M80" s="15" t="str">
        <v>Select exact MPN</v>
      </c>
      <c r="N80" s="15" t="str">
        <v>Bench access, debugging and simple board connections.</v>
      </c>
      <c r="O80" s="15" t="str">
        <v>Confirm SMT or hand assembly</v>
      </c>
    </row>
    <row r="81" ht="42" customHeight="1">
      <c r="A81" s="2" t="str">
        <v>P1</v>
      </c>
      <c r="B81" s="2" t="str">
        <v>Interconnect</v>
      </c>
      <c r="C81" s="15" t="str">
        <v>2.54 mm female header</v>
      </c>
      <c r="D81" s="15" t="str">
        <v>Select footprint</v>
      </c>
      <c r="E81" s="12" t="n">
        <v>25</v>
      </c>
      <c r="F81" s="12"/>
      <c r="G81" s="12"/>
      <c r="H81" s="13" t="str">
        <f>IF(AND(ISNUMBER(E81),ISNUMBER(F81),ISNUMBER(G81)),MAX(0,E81-F81-G81),"")</f>
      </c>
      <c r="I81" s="2" t="str">
        <v>strips</v>
      </c>
      <c r="J81" s="2" t="str">
        <v>To select</v>
      </c>
      <c r="K81" s="14"/>
      <c r="L81" s="14" t="str">
        <v>Search supplier</v>
      </c>
      <c r="M81" s="15" t="str">
        <v>Select exact MPN</v>
      </c>
      <c r="N81" s="15" t="str">
        <v>Bench access, debugging and simple board connections.</v>
      </c>
      <c r="O81" s="15" t="str">
        <v>Confirm SMT or hand assembly</v>
      </c>
    </row>
    <row r="82" ht="42" customHeight="1">
      <c r="A82" s="2" t="str">
        <v>P1</v>
      </c>
      <c r="B82" s="2" t="str">
        <v>Interconnect</v>
      </c>
      <c r="C82" s="15" t="str">
        <v>2.54 mm jumper shunt</v>
      </c>
      <c r="D82" s="15" t="str">
        <v>Select footprint</v>
      </c>
      <c r="E82" s="12" t="n">
        <v>100</v>
      </c>
      <c r="F82" s="12"/>
      <c r="G82" s="12"/>
      <c r="H82" s="13" t="str">
        <f>IF(AND(ISNUMBER(E82),ISNUMBER(F82),ISNUMBER(G82)),MAX(0,E82-F82-G82),"")</f>
      </c>
      <c r="I82" s="2" t="str">
        <v>pcs</v>
      </c>
      <c r="J82" s="2" t="str">
        <v>To select</v>
      </c>
      <c r="K82" s="14"/>
      <c r="L82" s="14" t="str">
        <v>Search supplier</v>
      </c>
      <c r="M82" s="15" t="str">
        <v>Select exact MPN</v>
      </c>
      <c r="N82" s="15" t="str">
        <v>Bench access, debugging and simple board connections.</v>
      </c>
      <c r="O82" s="15" t="str">
        <v>Confirm SMT or hand assembly</v>
      </c>
    </row>
    <row r="83" ht="42" customHeight="1">
      <c r="A83" s="2" t="str">
        <v>P1</v>
      </c>
      <c r="B83" s="2" t="str">
        <v>Interconnect</v>
      </c>
      <c r="C83" s="15" t="str">
        <v>PCB test point</v>
      </c>
      <c r="D83" s="15" t="str">
        <v>Select footprint</v>
      </c>
      <c r="E83" s="12" t="n">
        <v>100</v>
      </c>
      <c r="F83" s="12"/>
      <c r="G83" s="12"/>
      <c r="H83" s="13" t="str">
        <f>IF(AND(ISNUMBER(E83),ISNUMBER(F83),ISNUMBER(G83)),MAX(0,E83-F83-G83),"")</f>
      </c>
      <c r="I83" s="2" t="str">
        <v>pcs</v>
      </c>
      <c r="J83" s="2" t="str">
        <v>To select</v>
      </c>
      <c r="K83" s="14"/>
      <c r="L83" s="14" t="str">
        <v>Search supplier</v>
      </c>
      <c r="M83" s="15" t="str">
        <v>Select exact MPN</v>
      </c>
      <c r="N83" s="15" t="str">
        <v>Bench access, debugging and simple board connections.</v>
      </c>
      <c r="O83" s="15" t="str">
        <v>Confirm SMT or hand assembly</v>
      </c>
    </row>
    <row r="84" ht="42" customHeight="1">
      <c r="A84" s="2" t="str">
        <v>P1</v>
      </c>
      <c r="B84" s="2" t="str">
        <v>Interconnect</v>
      </c>
      <c r="C84" s="15" t="str">
        <v>Tactile switch</v>
      </c>
      <c r="D84" s="15" t="str">
        <v>Select footprint</v>
      </c>
      <c r="E84" s="12" t="n">
        <v>50</v>
      </c>
      <c r="F84" s="12"/>
      <c r="G84" s="12"/>
      <c r="H84" s="13" t="str">
        <f>IF(AND(ISNUMBER(E84),ISNUMBER(F84),ISNUMBER(G84)),MAX(0,E84-F84-G84),"")</f>
      </c>
      <c r="I84" s="2" t="str">
        <v>pcs</v>
      </c>
      <c r="J84" s="2" t="str">
        <v>To select</v>
      </c>
      <c r="K84" s="14"/>
      <c r="L84" s="14" t="str">
        <v>Search supplier</v>
      </c>
      <c r="M84" s="15" t="str">
        <v>Select exact MPN</v>
      </c>
      <c r="N84" s="15" t="str">
        <v>Bench access, debugging and simple board connections.</v>
      </c>
      <c r="O84" s="15" t="str">
        <v>Confirm SMT or hand assembly</v>
      </c>
    </row>
    <row r="85" ht="42" customHeight="1">
      <c r="A85" s="2" t="str">
        <v>P1</v>
      </c>
      <c r="B85" s="2" t="str">
        <v>Harness</v>
      </c>
      <c r="C85" s="15" t="str">
        <v>JST GH 2-position board connector</v>
      </c>
      <c r="D85" s="15" t="str">
        <v>1.25 mm pitch</v>
      </c>
      <c r="E85" s="12" t="n">
        <v>25</v>
      </c>
      <c r="F85" s="12"/>
      <c r="G85" s="12"/>
      <c r="H85" s="13" t="str">
        <f>IF(AND(ISNUMBER(E85),ISNUMBER(F85),ISNUMBER(G85)),MAX(0,E85-F85-G85),"")</f>
      </c>
      <c r="I85" s="2" t="str">
        <v>pcs</v>
      </c>
      <c r="J85" s="2" t="str">
        <v>JST GH 2 pin</v>
      </c>
      <c r="K85" s="14" t="str">
        <v>Manufacturer page</v>
      </c>
      <c r="L85" s="14" t="str">
        <v>Search supplier</v>
      </c>
      <c r="M85" s="15" t="str">
        <v>Select exact MPN</v>
      </c>
      <c r="N85" s="15" t="str">
        <v>Locking signal connector; select vertical or side-entry.</v>
      </c>
      <c r="O85" s="15" t="str">
        <v>Custom reel / continuous tape</v>
      </c>
    </row>
    <row r="86" ht="42" customHeight="1">
      <c r="A86" s="2" t="str">
        <v>P1</v>
      </c>
      <c r="B86" s="2" t="str">
        <v>Harness</v>
      </c>
      <c r="C86" s="15" t="str">
        <v>JST GH 2-position housing</v>
      </c>
      <c r="D86" s="15" t="str">
        <v>Matching housing</v>
      </c>
      <c r="E86" s="12" t="n">
        <v>25</v>
      </c>
      <c r="F86" s="12"/>
      <c r="G86" s="12"/>
      <c r="H86" s="13" t="str">
        <f>IF(AND(ISNUMBER(E86),ISNUMBER(F86),ISNUMBER(G86)),MAX(0,E86-F86-G86),"")</f>
      </c>
      <c r="I86" s="2" t="str">
        <v>pcs</v>
      </c>
      <c r="J86" s="2" t="str">
        <v>JST GH 2 housing</v>
      </c>
      <c r="K86" s="14" t="str">
        <v>Manufacturer page</v>
      </c>
      <c r="L86" s="14" t="str">
        <v>Search supplier</v>
      </c>
      <c r="M86" s="15" t="str">
        <v>Select exact MPN</v>
      </c>
      <c r="N86" s="15" t="str">
        <v>Cable-side mate for matching GH board connector.</v>
      </c>
      <c r="O86" s="15" t="str">
        <v>Bag / manual</v>
      </c>
    </row>
    <row r="87" ht="42" customHeight="1">
      <c r="A87" s="2" t="str">
        <v>P1</v>
      </c>
      <c r="B87" s="2" t="str">
        <v>Harness</v>
      </c>
      <c r="C87" s="15" t="str">
        <v>JST GH 3-position board connector</v>
      </c>
      <c r="D87" s="15" t="str">
        <v>1.25 mm pitch</v>
      </c>
      <c r="E87" s="12" t="n">
        <v>25</v>
      </c>
      <c r="F87" s="12"/>
      <c r="G87" s="12"/>
      <c r="H87" s="13" t="str">
        <f>IF(AND(ISNUMBER(E87),ISNUMBER(F87),ISNUMBER(G87)),MAX(0,E87-F87-G87),"")</f>
      </c>
      <c r="I87" s="2" t="str">
        <v>pcs</v>
      </c>
      <c r="J87" s="2" t="str">
        <v>JST GH 3 pin</v>
      </c>
      <c r="K87" s="14" t="str">
        <v>Manufacturer page</v>
      </c>
      <c r="L87" s="14" t="str">
        <v>Search supplier</v>
      </c>
      <c r="M87" s="15" t="str">
        <v>Select exact MPN</v>
      </c>
      <c r="N87" s="15" t="str">
        <v>Locking signal connector; select vertical or side-entry.</v>
      </c>
      <c r="O87" s="15" t="str">
        <v>Custom reel / continuous tape</v>
      </c>
    </row>
    <row r="88" ht="42" customHeight="1">
      <c r="A88" s="2" t="str">
        <v>P1</v>
      </c>
      <c r="B88" s="2" t="str">
        <v>Harness</v>
      </c>
      <c r="C88" s="15" t="str">
        <v>JST GH 3-position housing</v>
      </c>
      <c r="D88" s="15" t="str">
        <v>Matching housing</v>
      </c>
      <c r="E88" s="12" t="n">
        <v>25</v>
      </c>
      <c r="F88" s="12"/>
      <c r="G88" s="12"/>
      <c r="H88" s="13" t="str">
        <f>IF(AND(ISNUMBER(E88),ISNUMBER(F88),ISNUMBER(G88)),MAX(0,E88-F88-G88),"")</f>
      </c>
      <c r="I88" s="2" t="str">
        <v>pcs</v>
      </c>
      <c r="J88" s="2" t="str">
        <v>JST GH 3 housing</v>
      </c>
      <c r="K88" s="14" t="str">
        <v>Manufacturer page</v>
      </c>
      <c r="L88" s="14" t="str">
        <v>Search supplier</v>
      </c>
      <c r="M88" s="15" t="str">
        <v>Select exact MPN</v>
      </c>
      <c r="N88" s="15" t="str">
        <v>Cable-side mate for matching GH board connector.</v>
      </c>
      <c r="O88" s="15" t="str">
        <v>Bag / manual</v>
      </c>
    </row>
    <row r="89" ht="42" customHeight="1">
      <c r="A89" s="2" t="str">
        <v>P1</v>
      </c>
      <c r="B89" s="2" t="str">
        <v>Harness</v>
      </c>
      <c r="C89" s="15" t="str">
        <v>JST GH 4-position board connector</v>
      </c>
      <c r="D89" s="15" t="str">
        <v>1.25 mm pitch</v>
      </c>
      <c r="E89" s="12" t="n">
        <v>25</v>
      </c>
      <c r="F89" s="12"/>
      <c r="G89" s="12"/>
      <c r="H89" s="13" t="str">
        <f>IF(AND(ISNUMBER(E89),ISNUMBER(F89),ISNUMBER(G89)),MAX(0,E89-F89-G89),"")</f>
      </c>
      <c r="I89" s="2" t="str">
        <v>pcs</v>
      </c>
      <c r="J89" s="2" t="str">
        <v>JST GH 4 pin</v>
      </c>
      <c r="K89" s="14" t="str">
        <v>Manufacturer page</v>
      </c>
      <c r="L89" s="14" t="str">
        <v>Search supplier</v>
      </c>
      <c r="M89" s="15" t="str">
        <v>Select exact MPN</v>
      </c>
      <c r="N89" s="15" t="str">
        <v>Locking signal connector; select vertical or side-entry.</v>
      </c>
      <c r="O89" s="15" t="str">
        <v>Custom reel / continuous tape</v>
      </c>
    </row>
    <row r="90" ht="42" customHeight="1">
      <c r="A90" s="2" t="str">
        <v>P1</v>
      </c>
      <c r="B90" s="2" t="str">
        <v>Harness</v>
      </c>
      <c r="C90" s="15" t="str">
        <v>JST GH 4-position housing</v>
      </c>
      <c r="D90" s="15" t="str">
        <v>Matching housing</v>
      </c>
      <c r="E90" s="12" t="n">
        <v>25</v>
      </c>
      <c r="F90" s="12"/>
      <c r="G90" s="12"/>
      <c r="H90" s="13" t="str">
        <f>IF(AND(ISNUMBER(E90),ISNUMBER(F90),ISNUMBER(G90)),MAX(0,E90-F90-G90),"")</f>
      </c>
      <c r="I90" s="2" t="str">
        <v>pcs</v>
      </c>
      <c r="J90" s="2" t="str">
        <v>JST GH 4 housing</v>
      </c>
      <c r="K90" s="14" t="str">
        <v>Manufacturer page</v>
      </c>
      <c r="L90" s="14" t="str">
        <v>Search supplier</v>
      </c>
      <c r="M90" s="15" t="str">
        <v>Select exact MPN</v>
      </c>
      <c r="N90" s="15" t="str">
        <v>Cable-side mate for matching GH board connector.</v>
      </c>
      <c r="O90" s="15" t="str">
        <v>Bag / manual</v>
      </c>
    </row>
    <row r="91" ht="42" customHeight="1">
      <c r="A91" s="2" t="str">
        <v>P1</v>
      </c>
      <c r="B91" s="2" t="str">
        <v>Harness</v>
      </c>
      <c r="C91" s="15" t="str">
        <v>JST GH 6-position board connector</v>
      </c>
      <c r="D91" s="15" t="str">
        <v>1.25 mm pitch</v>
      </c>
      <c r="E91" s="12" t="n">
        <v>25</v>
      </c>
      <c r="F91" s="12"/>
      <c r="G91" s="12"/>
      <c r="H91" s="13" t="str">
        <f>IF(AND(ISNUMBER(E91),ISNUMBER(F91),ISNUMBER(G91)),MAX(0,E91-F91-G91),"")</f>
      </c>
      <c r="I91" s="2" t="str">
        <v>pcs</v>
      </c>
      <c r="J91" s="2" t="str">
        <v>JST GH 6 pin</v>
      </c>
      <c r="K91" s="14" t="str">
        <v>Manufacturer page</v>
      </c>
      <c r="L91" s="14" t="str">
        <v>Search supplier</v>
      </c>
      <c r="M91" s="15" t="str">
        <v>Select exact MPN</v>
      </c>
      <c r="N91" s="15" t="str">
        <v>Locking signal connector; select vertical or side-entry.</v>
      </c>
      <c r="O91" s="15" t="str">
        <v>Custom reel / continuous tape</v>
      </c>
    </row>
    <row r="92" ht="42" customHeight="1">
      <c r="A92" s="2" t="str">
        <v>P1</v>
      </c>
      <c r="B92" s="2" t="str">
        <v>Harness</v>
      </c>
      <c r="C92" s="15" t="str">
        <v>JST GH 6-position housing</v>
      </c>
      <c r="D92" s="15" t="str">
        <v>Matching housing</v>
      </c>
      <c r="E92" s="12" t="n">
        <v>25</v>
      </c>
      <c r="F92" s="12"/>
      <c r="G92" s="12"/>
      <c r="H92" s="13" t="str">
        <f>IF(AND(ISNUMBER(E92),ISNUMBER(F92),ISNUMBER(G92)),MAX(0,E92-F92-G92),"")</f>
      </c>
      <c r="I92" s="2" t="str">
        <v>pcs</v>
      </c>
      <c r="J92" s="2" t="str">
        <v>JST GH 6 housing</v>
      </c>
      <c r="K92" s="14" t="str">
        <v>Manufacturer page</v>
      </c>
      <c r="L92" s="14" t="str">
        <v>Search supplier</v>
      </c>
      <c r="M92" s="15" t="str">
        <v>Select exact MPN</v>
      </c>
      <c r="N92" s="15" t="str">
        <v>Cable-side mate for matching GH board connector.</v>
      </c>
      <c r="O92" s="15" t="str">
        <v>Bag / manual</v>
      </c>
    </row>
    <row r="93" ht="42" customHeight="1">
      <c r="A93" s="2" t="str">
        <v>P1</v>
      </c>
      <c r="B93" s="2" t="str">
        <v>Harness</v>
      </c>
      <c r="C93" s="15" t="str">
        <v>JST GH crimp contacts</v>
      </c>
      <c r="D93" s="15" t="str">
        <v>Match wire gauge</v>
      </c>
      <c r="E93" s="12" t="n">
        <v>500</v>
      </c>
      <c r="F93" s="12"/>
      <c r="G93" s="12"/>
      <c r="H93" s="13" t="str">
        <f>IF(AND(ISNUMBER(E93),ISNUMBER(F93),ISNUMBER(G93)),MAX(0,E93-F93-G93),"")</f>
      </c>
      <c r="I93" s="2" t="str">
        <v>pcs</v>
      </c>
      <c r="J93" s="2" t="str">
        <v>JST GH crimp contact</v>
      </c>
      <c r="K93" s="14" t="str">
        <v>Manufacturer page</v>
      </c>
      <c r="L93" s="14" t="str">
        <v>Search supplier</v>
      </c>
      <c r="M93" s="15" t="str">
        <v>Select exact MPN</v>
      </c>
      <c r="N93" s="15" t="str">
        <v>Cable termination; confirm contact and wire/tool compatibility.</v>
      </c>
      <c r="O93" s="15" t="str">
        <v>Strip / manual crimp</v>
      </c>
    </row>
    <row r="94" ht="42" customHeight="1">
      <c r="A94" s="2" t="str">
        <v>P2</v>
      </c>
      <c r="B94" s="2" t="str">
        <v>Interconnect</v>
      </c>
      <c r="C94" s="15" t="str">
        <v>Power connector mating pair</v>
      </c>
      <c r="D94" s="15" t="str">
        <v>Mechanical choice</v>
      </c>
      <c r="E94" s="12" t="n">
        <v>20</v>
      </c>
      <c r="F94" s="12"/>
      <c r="G94" s="12"/>
      <c r="H94" s="13" t="str">
        <f>IF(AND(ISNUMBER(E94),ISNUMBER(F94),ISNUMBER(G94)),MAX(0,E94-F94-G94),"")</f>
      </c>
      <c r="I94" s="2" t="str">
        <v>pairs</v>
      </c>
      <c r="J94" s="2" t="str">
        <v>To select</v>
      </c>
      <c r="K94" s="14"/>
      <c r="L94" s="14" t="str">
        <v>Search supplier</v>
      </c>
      <c r="M94" s="15" t="str">
        <v>Select connector standard</v>
      </c>
      <c r="N94" s="15" t="str">
        <v>Select mating parts and orientation together.</v>
      </c>
      <c r="O94" s="15" t="str">
        <v>Confirm SMT or hand assembly</v>
      </c>
    </row>
    <row r="95" ht="42" customHeight="1">
      <c r="A95" s="2" t="str">
        <v>P2</v>
      </c>
      <c r="B95" s="2" t="str">
        <v>Interconnect</v>
      </c>
      <c r="C95" s="15" t="str">
        <v>USB connector</v>
      </c>
      <c r="D95" s="15" t="str">
        <v>Mechanical choice</v>
      </c>
      <c r="E95" s="12" t="n">
        <v>20</v>
      </c>
      <c r="F95" s="12"/>
      <c r="G95" s="12"/>
      <c r="H95" s="13" t="str">
        <f>IF(AND(ISNUMBER(E95),ISNUMBER(F95),ISNUMBER(G95)),MAX(0,E95-F95-G95),"")</f>
      </c>
      <c r="I95" s="2" t="str">
        <v>pcs</v>
      </c>
      <c r="J95" s="2" t="str">
        <v>To select</v>
      </c>
      <c r="K95" s="14"/>
      <c r="L95" s="14" t="str">
        <v>Search supplier</v>
      </c>
      <c r="M95" s="15" t="str">
        <v>Select connector standard</v>
      </c>
      <c r="N95" s="15" t="str">
        <v>Select mating parts and orientation together.</v>
      </c>
      <c r="O95" s="15" t="str">
        <v>Confirm SMT or hand assembly</v>
      </c>
    </row>
    <row r="96" ht="42" customHeight="1">
      <c r="A96" s="2" t="str">
        <v>P2</v>
      </c>
      <c r="B96" s="2" t="str">
        <v>Interconnect</v>
      </c>
      <c r="C96" s="15" t="str">
        <v>SWD programming connector</v>
      </c>
      <c r="D96" s="15" t="str">
        <v>Mechanical choice</v>
      </c>
      <c r="E96" s="12" t="n">
        <v>20</v>
      </c>
      <c r="F96" s="12"/>
      <c r="G96" s="12"/>
      <c r="H96" s="13" t="str">
        <f>IF(AND(ISNUMBER(E96),ISNUMBER(F96),ISNUMBER(G96)),MAX(0,E96-F96-G96),"")</f>
      </c>
      <c r="I96" s="2" t="str">
        <v>pcs</v>
      </c>
      <c r="J96" s="2" t="str">
        <v>To select</v>
      </c>
      <c r="K96" s="14"/>
      <c r="L96" s="14" t="str">
        <v>Search supplier</v>
      </c>
      <c r="M96" s="15" t="str">
        <v>Select connector standard</v>
      </c>
      <c r="N96" s="15" t="str">
        <v>Select mating parts and orientation together.</v>
      </c>
      <c r="O96" s="15" t="str">
        <v>Confirm SMT or hand assembly</v>
      </c>
    </row>
    <row r="97" ht="42" customHeight="1">
      <c r="A97" s="2" t="str">
        <v>P2</v>
      </c>
      <c r="B97" s="2" t="str">
        <v>Interconnect</v>
      </c>
      <c r="C97" s="15" t="str">
        <v>RF connector</v>
      </c>
      <c r="D97" s="15" t="str">
        <v>Mechanical choice</v>
      </c>
      <c r="E97" s="12" t="n">
        <v>20</v>
      </c>
      <c r="F97" s="12"/>
      <c r="G97" s="12"/>
      <c r="H97" s="13" t="str">
        <f>IF(AND(ISNUMBER(E97),ISNUMBER(F97),ISNUMBER(G97)),MAX(0,E97-F97-G97),"")</f>
      </c>
      <c r="I97" s="2" t="str">
        <v>pcs</v>
      </c>
      <c r="J97" s="2" t="str">
        <v>To select</v>
      </c>
      <c r="K97" s="14"/>
      <c r="L97" s="14" t="str">
        <v>Search supplier</v>
      </c>
      <c r="M97" s="15" t="str">
        <v>Select connector standard</v>
      </c>
      <c r="N97" s="15" t="str">
        <v>Select mating parts and orientation together.</v>
      </c>
      <c r="O97" s="15" t="str">
        <v>Confirm SMT or hand assembly</v>
      </c>
    </row>
  </sheetData>
  <conditionalFormatting sqref="H9:H97">
    <cfRule type="cellIs" dxfId="0" priority="1" operator="greaterThan">
      <formula>0</formula>
    </cfRule>
  </conditionalFormatting>
  <dataValidations count="4">
    <dataValidation type="whole" operator="between" sqref="E9:E97">
      <formula1>0</formula1>
      <formula2>10000000</formula2>
    </dataValidation>
    <dataValidation type="whole" operator="between" sqref="F9:F97">
      <formula1>0</formula1>
      <formula2>10000000</formula2>
    </dataValidation>
    <dataValidation type="whole" operator="between" sqref="G9:G97">
      <formula1>0</formula1>
      <formula2>10000000</formula2>
    </dataValidation>
    <dataValidation type="list" sqref="A9:A97">
      <formula1>"P1,P2"</formula1>
    </dataValidation>
  </dataValidations>
  <hyperlinks>
    <hyperlink ref="L9" r:id="labLink9L"/>
    <hyperlink ref="L10" r:id="labLink10L"/>
    <hyperlink ref="L11" r:id="labLink11L"/>
    <hyperlink ref="L12" r:id="labLink12L"/>
    <hyperlink ref="L13" r:id="labLink13L"/>
    <hyperlink ref="L14" r:id="labLink14L"/>
    <hyperlink ref="L15" r:id="labLink15L"/>
    <hyperlink ref="L16" r:id="labLink16L"/>
    <hyperlink ref="L17" r:id="labLink17L"/>
    <hyperlink ref="L18" r:id="labLink18L"/>
    <hyperlink ref="L19" r:id="labLink19L"/>
    <hyperlink ref="L20" r:id="labLink20L"/>
    <hyperlink ref="L21" r:id="labLink21L"/>
    <hyperlink ref="L22" r:id="labLink22L"/>
    <hyperlink ref="L23" r:id="labLink23L"/>
    <hyperlink ref="L24" r:id="labLink24L"/>
    <hyperlink ref="L25" r:id="labLink25L"/>
    <hyperlink ref="L26" r:id="labLink26L"/>
    <hyperlink ref="L27" r:id="labLink27L"/>
    <hyperlink ref="L28" r:id="labLink28L"/>
    <hyperlink ref="L29" r:id="labLink29L"/>
    <hyperlink ref="L30" r:id="labLink30L"/>
    <hyperlink ref="L31" r:id="labLink31L"/>
    <hyperlink ref="L32" r:id="labLink32L"/>
    <hyperlink ref="L33" r:id="labLink33L"/>
    <hyperlink ref="L34" r:id="labLink34L"/>
    <hyperlink ref="L35" r:id="labLink35L"/>
    <hyperlink ref="L36" r:id="labLink36L"/>
    <hyperlink ref="L37" r:id="labLink37L"/>
    <hyperlink ref="L38" r:id="labLink38L"/>
    <hyperlink ref="L39" r:id="labLink39L"/>
    <hyperlink ref="L40" r:id="labLink40L"/>
    <hyperlink ref="L41" r:id="labLink41L"/>
    <hyperlink ref="L42" r:id="labLink42L"/>
    <hyperlink ref="L43" r:id="labLink43L"/>
    <hyperlink ref="L44" r:id="labLink44L"/>
    <hyperlink ref="L45" r:id="labLink45L"/>
    <hyperlink ref="L46" r:id="labLink46L"/>
    <hyperlink ref="L47" r:id="labLink47L"/>
    <hyperlink ref="L48" r:id="labLink48L"/>
    <hyperlink ref="K49" r:id="labLink49K"/>
    <hyperlink ref="L49" r:id="labLink49L"/>
    <hyperlink ref="K50" r:id="labLink50K"/>
    <hyperlink ref="L50" r:id="labLink50L"/>
    <hyperlink ref="K51" r:id="labLink51K"/>
    <hyperlink ref="L51" r:id="labLink51L"/>
    <hyperlink ref="K52" r:id="labLink52K"/>
    <hyperlink ref="L52" r:id="labLink52L"/>
    <hyperlink ref="K53" r:id="labLink53K"/>
    <hyperlink ref="L53" r:id="labLink53L"/>
    <hyperlink ref="K54" r:id="labLink54K"/>
    <hyperlink ref="L54" r:id="labLink54L"/>
    <hyperlink ref="K55" r:id="labLink55K"/>
    <hyperlink ref="L55" r:id="labLink55L"/>
    <hyperlink ref="K56" r:id="labLink56K"/>
    <hyperlink ref="L56" r:id="labLink56L"/>
    <hyperlink ref="K57" r:id="labLink57K"/>
    <hyperlink ref="L57" r:id="labLink57L"/>
    <hyperlink ref="K58" r:id="labLink58K"/>
    <hyperlink ref="L58" r:id="labLink58L"/>
    <hyperlink ref="L59" r:id="labLink59L"/>
    <hyperlink ref="L60" r:id="labLink60L"/>
    <hyperlink ref="L61" r:id="labLink61L"/>
    <hyperlink ref="L62" r:id="labLink62L"/>
    <hyperlink ref="L63" r:id="labLink63L"/>
    <hyperlink ref="L64" r:id="labLink64L"/>
    <hyperlink ref="L65" r:id="labLink65L"/>
    <hyperlink ref="L66" r:id="labLink66L"/>
    <hyperlink ref="L67" r:id="labLink67L"/>
    <hyperlink ref="L68" r:id="labLink68L"/>
    <hyperlink ref="L69" r:id="labLink69L"/>
    <hyperlink ref="L70" r:id="labLink70L"/>
    <hyperlink ref="L71" r:id="labLink71L"/>
    <hyperlink ref="L72" r:id="labLink72L"/>
    <hyperlink ref="L73" r:id="labLink73L"/>
    <hyperlink ref="L74" r:id="labLink74L"/>
    <hyperlink ref="L75" r:id="labLink75L"/>
    <hyperlink ref="L76" r:id="labLink76L"/>
    <hyperlink ref="L77" r:id="labLink77L"/>
    <hyperlink ref="L78" r:id="labLink78L"/>
    <hyperlink ref="L79" r:id="labLink79L"/>
    <hyperlink ref="L80" r:id="labLink80L"/>
    <hyperlink ref="L81" r:id="labLink81L"/>
    <hyperlink ref="L82" r:id="labLink82L"/>
    <hyperlink ref="L83" r:id="labLink83L"/>
    <hyperlink ref="L84" r:id="labLink84L"/>
    <hyperlink ref="K85" r:id="labLink85K"/>
    <hyperlink ref="L85" r:id="labLink85L"/>
    <hyperlink ref="K86" r:id="labLink86K"/>
    <hyperlink ref="L86" r:id="labLink86L"/>
    <hyperlink ref="K87" r:id="labLink87K"/>
    <hyperlink ref="L87" r:id="labLink87L"/>
    <hyperlink ref="K88" r:id="labLink88K"/>
    <hyperlink ref="L88" r:id="labLink88L"/>
    <hyperlink ref="K89" r:id="labLink89K"/>
    <hyperlink ref="L89" r:id="labLink89L"/>
    <hyperlink ref="K90" r:id="labLink90K"/>
    <hyperlink ref="L90" r:id="labLink90L"/>
    <hyperlink ref="K91" r:id="labLink91K"/>
    <hyperlink ref="L91" r:id="labLink91L"/>
    <hyperlink ref="K92" r:id="labLink92K"/>
    <hyperlink ref="L92" r:id="labLink92L"/>
    <hyperlink ref="K93" r:id="labLink93K"/>
    <hyperlink ref="L93" r:id="labLink93L"/>
    <hyperlink ref="L94" r:id="labLink94L"/>
    <hyperlink ref="L95" r:id="labLink95L"/>
    <hyperlink ref="L96" r:id="labLink96L"/>
    <hyperlink ref="L97" r:id="labLink97L"/>
  </hyperlinks>
  <pageMargins left="0.7" right="0.7" top="0.75" bottom="0.75" header="0.3" footer="0.3"/>
  <tableParts count="1">
    <tablePart r:id="Rd49a1d990c9b4f25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03D59"/>
  </sheetPr>
  <sheetViews>
    <sheetView showGridLines="0" workbookViewId="0">
      <pane xSplit="3" ySplit="8" topLeftCell="D9" activePane="bottomRight" state="frozen"/>
    </sheetView>
  </sheetViews>
  <sheetFormatPr defaultRowHeight="15"/>
  <cols>
    <col min="1" max="1" width="9" hidden="0" customWidth="1"/>
    <col min="2" max="2" width="19" hidden="0" customWidth="1"/>
    <col min="3" max="3" width="43" hidden="0" customWidth="1"/>
    <col min="4" max="4" width="23" hidden="0" customWidth="1"/>
    <col min="5" max="5" width="13" hidden="0" customWidth="1"/>
    <col min="6" max="6" width="13" hidden="0" customWidth="1"/>
    <col min="7" max="7" width="13" hidden="0" customWidth="1"/>
    <col min="8" max="8" width="13" hidden="0" customWidth="1"/>
    <col min="9" max="9" width="12" hidden="0" customWidth="1"/>
    <col min="10" max="10" width="24" hidden="0" customWidth="1"/>
    <col min="11" max="11" width="23" hidden="0" customWidth="1"/>
    <col min="12" max="12" width="20" hidden="0" customWidth="1"/>
    <col min="13" max="13" width="29" hidden="0" customWidth="1"/>
    <col min="14" max="14" width="66" hidden="0" customWidth="1"/>
    <col min="15" max="15" width="34" hidden="0" customWidth="1"/>
  </cols>
  <sheetData>
    <row r="1" ht="3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2" customHeight="1">
      <c r="A2" s="3" t="str">
        <v>Lab equipment and assembly supplies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2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32" customHeight="1">
      <c r="A4" s="2" t="str">
        <v>Targets are starter-stock recommendations per row, before inventory. P1 = first wave; P2 = expand after platform selection.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2" customHeight="1">
      <c r="A5" s="2" t="str">
        <v>Yellow cells are editable. Enter 0 for confirmed none. Gap stays blank until stock and open orders are recorded.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32" customHeight="1">
      <c r="A6" s="2" t="str">
        <v>Gap is a planning quantity, not order release. Round to supplier packs after exact MPN and carrier selection. Links do not confirm price or stock.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32" customHeight="1">
      <c r="A7" s="2" t="str">
        <v>Prepared 14 Sep 2026. Count Ryan’s books only when identified and usable. Keep project-reserved stock out of free stock.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38" customHeight="1">
      <c r="A8" s="8" t="str">
        <v>Priority</v>
      </c>
      <c r="B8" s="8" t="str">
        <v>Category</v>
      </c>
      <c r="C8" s="8" t="str">
        <v>Item / specification</v>
      </c>
      <c r="D8" s="8" t="str">
        <v>Package</v>
      </c>
      <c r="E8" s="8" t="str">
        <v>Target stock</v>
      </c>
      <c r="F8" s="8" t="str">
        <v>Free stock</v>
      </c>
      <c r="G8" s="8" t="str">
        <v>Open orders</v>
      </c>
      <c r="H8" s="8" t="str">
        <v>Stock gap</v>
      </c>
      <c r="I8" s="8" t="str">
        <v>Unit</v>
      </c>
      <c r="J8" s="8" t="str">
        <v>Candidate family / code</v>
      </c>
      <c r="K8" s="8" t="str">
        <v>Manufacturer</v>
      </c>
      <c r="L8" s="8" t="str">
        <v>Supplier search</v>
      </c>
      <c r="M8" s="8" t="str">
        <v>Selection needed</v>
      </c>
      <c r="N8" s="8" t="str">
        <v>Use</v>
      </c>
      <c r="O8" s="8" t="str">
        <v>Supply format</v>
      </c>
    </row>
    <row r="9" ht="42" customHeight="1">
      <c r="A9" s="2" t="str">
        <v>P1</v>
      </c>
      <c r="B9" s="2" t="str">
        <v>Lab equipment</v>
      </c>
      <c r="C9" s="15" t="str">
        <v>PnP feeders</v>
      </c>
      <c r="D9" s="15" t="str">
        <v>Match process</v>
      </c>
      <c r="E9" s="12"/>
      <c r="F9" s="12"/>
      <c r="G9" s="12"/>
      <c r="H9" s="13" t="str">
        <f>IF(AND(ISNUMBER(E9),ISNUMBER(F9),ISNUMBER(G9)),MAX(0,E9-F9-G9),"")</f>
      </c>
      <c r="I9" s="2" t="str">
        <v>feeders</v>
      </c>
      <c r="J9" s="2" t="str">
        <v>To select</v>
      </c>
      <c r="K9" s="14"/>
      <c r="L9" s="14" t="str">
        <v>Search supplier</v>
      </c>
      <c r="M9" s="15" t="str">
        <v>Machine model required</v>
      </c>
      <c r="N9" s="15" t="str">
        <v>Choose widths, pitch and slot count from machine and active BOM.</v>
      </c>
      <c r="O9" s="15" t="str">
        <v>Supplier packaging</v>
      </c>
    </row>
    <row r="10" ht="42" customHeight="1">
      <c r="A10" s="2" t="str">
        <v>P1</v>
      </c>
      <c r="B10" s="2" t="str">
        <v>Lab equipment</v>
      </c>
      <c r="C10" s="15" t="str">
        <v>PnP nozzle set</v>
      </c>
      <c r="D10" s="15" t="str">
        <v>Match process</v>
      </c>
      <c r="E10" s="12" t="n">
        <v>1</v>
      </c>
      <c r="F10" s="12"/>
      <c r="G10" s="12"/>
      <c r="H10" s="13" t="str">
        <f>IF(AND(ISNUMBER(E10),ISNUMBER(F10),ISNUMBER(G10)),MAX(0,E10-F10-G10),"")</f>
      </c>
      <c r="I10" s="2" t="str">
        <v>sets</v>
      </c>
      <c r="J10" s="2" t="str">
        <v>To select</v>
      </c>
      <c r="K10" s="14"/>
      <c r="L10" s="14" t="str">
        <v>Search supplier</v>
      </c>
      <c r="M10" s="15" t="str">
        <v>Machine model required</v>
      </c>
      <c r="N10" s="15" t="str">
        <v>Choose a set matched to machine and component range.</v>
      </c>
      <c r="O10" s="15" t="str">
        <v>Supplier packaging</v>
      </c>
    </row>
    <row r="11" ht="42" customHeight="1">
      <c r="A11" s="2" t="str">
        <v>P1</v>
      </c>
      <c r="B11" s="2" t="str">
        <v>Lab equipment</v>
      </c>
      <c r="C11" s="15" t="str">
        <v>Cut-tape fixture</v>
      </c>
      <c r="D11" s="15" t="str">
        <v>Match process</v>
      </c>
      <c r="E11" s="12" t="n">
        <v>1</v>
      </c>
      <c r="F11" s="12"/>
      <c r="G11" s="12"/>
      <c r="H11" s="13" t="str">
        <f>IF(AND(ISNUMBER(E11),ISNUMBER(F11),ISNUMBER(G11)),MAX(0,E11-F11-G11),"")</f>
      </c>
      <c r="I11" s="2" t="str">
        <v>sets</v>
      </c>
      <c r="J11" s="2" t="str">
        <v>To select</v>
      </c>
      <c r="K11" s="14"/>
      <c r="L11" s="14" t="str">
        <v>Search supplier</v>
      </c>
      <c r="M11" s="15" t="str">
        <v>Machine model required</v>
      </c>
      <c r="N11" s="15" t="str">
        <v>Only if machine supports short-tape mounting.</v>
      </c>
      <c r="O11" s="15" t="str">
        <v>Supplier packaging</v>
      </c>
    </row>
    <row r="12" ht="42" customHeight="1">
      <c r="A12" s="2" t="str">
        <v>P1</v>
      </c>
      <c r="B12" s="2" t="str">
        <v>Lab equipment</v>
      </c>
      <c r="C12" s="15" t="str">
        <v>Tape leader and splice supplies</v>
      </c>
      <c r="D12" s="15" t="str">
        <v>Match process</v>
      </c>
      <c r="E12" s="12" t="n">
        <v>1</v>
      </c>
      <c r="F12" s="12"/>
      <c r="G12" s="12"/>
      <c r="H12" s="13" t="str">
        <f>IF(AND(ISNUMBER(E12),ISNUMBER(F12),ISNUMBER(G12)),MAX(0,E12-F12-G12),"")</f>
      </c>
      <c r="I12" s="2" t="str">
        <v>kits</v>
      </c>
      <c r="J12" s="2" t="str">
        <v>To select</v>
      </c>
      <c r="K12" s="14"/>
      <c r="L12" s="14" t="str">
        <v>Search supplier</v>
      </c>
      <c r="M12" s="15" t="str">
        <v>Machine model required</v>
      </c>
      <c r="N12" s="15" t="str">
        <v>Match selected carrier widths and feeder method.</v>
      </c>
      <c r="O12" s="15" t="str">
        <v>Supplier packaging</v>
      </c>
    </row>
    <row r="13" ht="42" customHeight="1">
      <c r="A13" s="2" t="str">
        <v>P1</v>
      </c>
      <c r="B13" s="2" t="str">
        <v>Lab equipment</v>
      </c>
      <c r="C13" s="15" t="str">
        <v>Reel storage rack</v>
      </c>
      <c r="D13" s="15" t="str">
        <v>Match process</v>
      </c>
      <c r="E13" s="12" t="n">
        <v>1</v>
      </c>
      <c r="F13" s="12"/>
      <c r="G13" s="12"/>
      <c r="H13" s="13" t="str">
        <f>IF(AND(ISNUMBER(E13),ISNUMBER(F13),ISNUMBER(G13)),MAX(0,E13-F13-G13),"")</f>
      </c>
      <c r="I13" s="2" t="str">
        <v>units</v>
      </c>
      <c r="J13" s="2" t="str">
        <v>To select</v>
      </c>
      <c r="K13" s="14"/>
      <c r="L13" s="14" t="str">
        <v>Search supplier</v>
      </c>
      <c r="M13" s="15" t="str">
        <v>Select capacity</v>
      </c>
      <c r="N13" s="15" t="str">
        <v>Size after reel count and diameters are known.</v>
      </c>
      <c r="O13" s="15" t="str">
        <v>Supplier packaging</v>
      </c>
    </row>
    <row r="14" ht="42" customHeight="1">
      <c r="A14" s="2" t="str">
        <v>P1</v>
      </c>
      <c r="B14" s="2" t="str">
        <v>Lab equipment</v>
      </c>
      <c r="C14" s="15" t="str">
        <v>Component label printer</v>
      </c>
      <c r="D14" s="15" t="str">
        <v>Match process</v>
      </c>
      <c r="E14" s="12" t="n">
        <v>1</v>
      </c>
      <c r="F14" s="12"/>
      <c r="G14" s="12"/>
      <c r="H14" s="13" t="str">
        <f>IF(AND(ISNUMBER(E14),ISNUMBER(F14),ISNUMBER(G14)),MAX(0,E14-F14-G14),"")</f>
      </c>
      <c r="I14" s="2" t="str">
        <v>units</v>
      </c>
      <c r="J14" s="2" t="str">
        <v>To select</v>
      </c>
      <c r="K14" s="14"/>
      <c r="L14" s="14" t="str">
        <v>Search supplier</v>
      </c>
      <c r="M14" s="15" t="str">
        <v>Select model/spec</v>
      </c>
      <c r="N14" s="15" t="str">
        <v>MPN, lot, quantity, location and stock ID labels.</v>
      </c>
      <c r="O14" s="15" t="str">
        <v>Supplier packaging</v>
      </c>
    </row>
    <row r="15" ht="42" customHeight="1">
      <c r="A15" s="2" t="str">
        <v>P1</v>
      </c>
      <c r="B15" s="2" t="str">
        <v>Lab equipment</v>
      </c>
      <c r="C15" s="15" t="str">
        <v>ESD component storage bins</v>
      </c>
      <c r="D15" s="15" t="str">
        <v>Match process</v>
      </c>
      <c r="E15" s="12" t="n">
        <v>1</v>
      </c>
      <c r="F15" s="12"/>
      <c r="G15" s="12"/>
      <c r="H15" s="13" t="str">
        <f>IF(AND(ISNUMBER(E15),ISNUMBER(F15),ISNUMBER(G15)),MAX(0,E15-F15-G15),"")</f>
      </c>
      <c r="I15" s="2" t="str">
        <v>sets</v>
      </c>
      <c r="J15" s="2" t="str">
        <v>To select</v>
      </c>
      <c r="K15" s="14"/>
      <c r="L15" s="14" t="str">
        <v>Search supplier</v>
      </c>
      <c r="M15" s="15" t="str">
        <v>Select capacity</v>
      </c>
      <c r="N15" s="15" t="str">
        <v>Store identifiable parts, separate project reservations.</v>
      </c>
      <c r="O15" s="15" t="str">
        <v>Supplier packaging</v>
      </c>
    </row>
    <row r="16" ht="42" customHeight="1">
      <c r="A16" s="2" t="str">
        <v>P1</v>
      </c>
      <c r="B16" s="2" t="str">
        <v>Lab equipment</v>
      </c>
      <c r="C16" s="15" t="str">
        <v>ESD mat and wrist strap kit</v>
      </c>
      <c r="D16" s="15" t="str">
        <v>Match process</v>
      </c>
      <c r="E16" s="12" t="n">
        <v>1</v>
      </c>
      <c r="F16" s="12"/>
      <c r="G16" s="12"/>
      <c r="H16" s="13" t="str">
        <f>IF(AND(ISNUMBER(E16),ISNUMBER(F16),ISNUMBER(G16)),MAX(0,E16-F16-G16),"")</f>
      </c>
      <c r="I16" s="2" t="str">
        <v>sets</v>
      </c>
      <c r="J16" s="2" t="str">
        <v>To select</v>
      </c>
      <c r="K16" s="14"/>
      <c r="L16" s="14" t="str">
        <v>Search supplier</v>
      </c>
      <c r="M16" s="15" t="str">
        <v>Check existing equipment</v>
      </c>
      <c r="N16" s="15" t="str">
        <v>One starter assembly workstation.</v>
      </c>
      <c r="O16" s="15" t="str">
        <v>Supplier packaging</v>
      </c>
    </row>
    <row r="17" ht="42" customHeight="1">
      <c r="A17" s="2" t="str">
        <v>P1</v>
      </c>
      <c r="B17" s="2" t="str">
        <v>Lab equipment</v>
      </c>
      <c r="C17" s="15" t="str">
        <v>Moisture barrier bags desiccant humidity cards</v>
      </c>
      <c r="D17" s="15" t="str">
        <v>Match process</v>
      </c>
      <c r="E17" s="12" t="n">
        <v>1</v>
      </c>
      <c r="F17" s="12"/>
      <c r="G17" s="12"/>
      <c r="H17" s="13" t="str">
        <f>IF(AND(ISNUMBER(E17),ISNUMBER(F17),ISNUMBER(G17)),MAX(0,E17-F17-G17),"")</f>
      </c>
      <c r="I17" s="2" t="str">
        <v>kits</v>
      </c>
      <c r="J17" s="2" t="str">
        <v>To select</v>
      </c>
      <c r="K17" s="14"/>
      <c r="L17" s="14" t="str">
        <v>Search supplier</v>
      </c>
      <c r="M17" s="15" t="str">
        <v>Select model/spec</v>
      </c>
      <c r="N17" s="15" t="str">
        <v>Match manufacturer handling requirements.</v>
      </c>
      <c r="O17" s="15" t="str">
        <v>Supplier packaging</v>
      </c>
    </row>
    <row r="18" ht="42" customHeight="1">
      <c r="A18" s="2" t="str">
        <v>P1</v>
      </c>
      <c r="B18" s="2" t="str">
        <v>Lab equipment</v>
      </c>
      <c r="C18" s="15" t="str">
        <v>Dry cabinet</v>
      </c>
      <c r="D18" s="15" t="str">
        <v>Match process</v>
      </c>
      <c r="E18" s="12" t="n">
        <v>1</v>
      </c>
      <c r="F18" s="12"/>
      <c r="G18" s="12"/>
      <c r="H18" s="13" t="str">
        <f>IF(AND(ISNUMBER(E18),ISNUMBER(F18),ISNUMBER(G18)),MAX(0,E18-F18-G18),"")</f>
      </c>
      <c r="I18" s="2" t="str">
        <v>units</v>
      </c>
      <c r="J18" s="2" t="str">
        <v>To select</v>
      </c>
      <c r="K18" s="14"/>
      <c r="L18" s="14" t="str">
        <v>Search supplier</v>
      </c>
      <c r="M18" s="15" t="str">
        <v>Check existing equipment</v>
      </c>
      <c r="N18" s="15" t="str">
        <v>Quote if component moisture requirements and usage justify it.</v>
      </c>
      <c r="O18" s="15" t="str">
        <v>Supplier packaging</v>
      </c>
    </row>
    <row r="19" ht="42" customHeight="1">
      <c r="A19" s="2" t="str">
        <v>P1</v>
      </c>
      <c r="B19" s="2" t="str">
        <v>Lab equipment</v>
      </c>
      <c r="C19" s="15" t="str">
        <v>Solder paste</v>
      </c>
      <c r="D19" s="15" t="str">
        <v>Match process</v>
      </c>
      <c r="E19" s="12" t="n">
        <v>1</v>
      </c>
      <c r="F19" s="12"/>
      <c r="G19" s="12"/>
      <c r="H19" s="13" t="str">
        <f>IF(AND(ISNUMBER(E19),ISNUMBER(F19),ISNUMBER(G19)),MAX(0,E19-F19-G19),"")</f>
      </c>
      <c r="I19" s="2" t="str">
        <v>containers</v>
      </c>
      <c r="J19" s="2" t="str">
        <v>To select</v>
      </c>
      <c r="K19" s="14"/>
      <c r="L19" s="14" t="str">
        <v>Search supplier</v>
      </c>
      <c r="M19" s="15" t="str">
        <v>Select process</v>
      </c>
      <c r="N19" s="15" t="str">
        <v>Select alloy/flux/type and container size for near-term builds.</v>
      </c>
      <c r="O19" s="15" t="str">
        <v>Supplier packaging</v>
      </c>
    </row>
    <row r="20" ht="42" customHeight="1">
      <c r="A20" s="2" t="str">
        <v>P1</v>
      </c>
      <c r="B20" s="2" t="str">
        <v>Lab equipment</v>
      </c>
      <c r="C20" s="15" t="str">
        <v>Stencil printer or alignment fixture</v>
      </c>
      <c r="D20" s="15" t="str">
        <v>Match process</v>
      </c>
      <c r="E20" s="12" t="n">
        <v>1</v>
      </c>
      <c r="F20" s="12"/>
      <c r="G20" s="12"/>
      <c r="H20" s="13" t="str">
        <f>IF(AND(ISNUMBER(E20),ISNUMBER(F20),ISNUMBER(G20)),MAX(0,E20-F20-G20),"")</f>
      </c>
      <c r="I20" s="2" t="str">
        <v>units</v>
      </c>
      <c r="J20" s="2" t="str">
        <v>To select</v>
      </c>
      <c r="K20" s="14"/>
      <c r="L20" s="14" t="str">
        <v>Search supplier</v>
      </c>
      <c r="M20" s="15" t="str">
        <v>Check existing equipment</v>
      </c>
      <c r="N20" s="15" t="str">
        <v>Match intended PCB and panel sizes.</v>
      </c>
      <c r="O20" s="15" t="str">
        <v>Supplier packaging</v>
      </c>
    </row>
    <row r="21" ht="42" customHeight="1">
      <c r="A21" s="2" t="str">
        <v>P1</v>
      </c>
      <c r="B21" s="2" t="str">
        <v>Lab equipment</v>
      </c>
      <c r="C21" s="15" t="str">
        <v>PCB stencil</v>
      </c>
      <c r="D21" s="15" t="str">
        <v>Match process</v>
      </c>
      <c r="E21" s="12"/>
      <c r="F21" s="12"/>
      <c r="G21" s="12"/>
      <c r="H21" s="13" t="str">
        <f>IF(AND(ISNUMBER(E21),ISNUMBER(F21),ISNUMBER(G21)),MAX(0,E21-F21-G21),"")</f>
      </c>
      <c r="I21" s="2" t="str">
        <v>stencils</v>
      </c>
      <c r="J21" s="2" t="str">
        <v>To select</v>
      </c>
      <c r="K21" s="14"/>
      <c r="L21" s="14" t="str">
        <v>Search supplier</v>
      </c>
      <c r="M21" s="15" t="str">
        <v>Layout required</v>
      </c>
      <c r="N21" s="15" t="str">
        <v>One per released layout/panel as needed.</v>
      </c>
      <c r="O21" s="15" t="str">
        <v>Supplier packaging</v>
      </c>
    </row>
    <row r="22" ht="42" customHeight="1">
      <c r="A22" s="2" t="str">
        <v>P1</v>
      </c>
      <c r="B22" s="2" t="str">
        <v>Lab equipment</v>
      </c>
      <c r="C22" s="15" t="str">
        <v>PCB support fixtures</v>
      </c>
      <c r="D22" s="15" t="str">
        <v>Match process</v>
      </c>
      <c r="E22" s="12" t="n">
        <v>1</v>
      </c>
      <c r="F22" s="12"/>
      <c r="G22" s="12"/>
      <c r="H22" s="13" t="str">
        <f>IF(AND(ISNUMBER(E22),ISNUMBER(F22),ISNUMBER(G22)),MAX(0,E22-F22-G22),"")</f>
      </c>
      <c r="I22" s="2" t="str">
        <v>sets</v>
      </c>
      <c r="J22" s="2" t="str">
        <v>To select</v>
      </c>
      <c r="K22" s="14"/>
      <c r="L22" s="14" t="str">
        <v>Search supplier</v>
      </c>
      <c r="M22" s="15" t="str">
        <v>Select process</v>
      </c>
      <c r="N22" s="15" t="str">
        <v>Hold panels during printing and assembly.</v>
      </c>
      <c r="O22" s="15" t="str">
        <v>Supplier packaging</v>
      </c>
    </row>
    <row r="23" ht="42" customHeight="1">
      <c r="A23" s="2" t="str">
        <v>P1</v>
      </c>
      <c r="B23" s="2" t="str">
        <v>Lab equipment</v>
      </c>
      <c r="C23" s="15" t="str">
        <v>Reflow oven</v>
      </c>
      <c r="D23" s="15" t="str">
        <v>Match process</v>
      </c>
      <c r="E23" s="12" t="n">
        <v>1</v>
      </c>
      <c r="F23" s="12"/>
      <c r="G23" s="12"/>
      <c r="H23" s="13" t="str">
        <f>IF(AND(ISNUMBER(E23),ISNUMBER(F23),ISNUMBER(G23)),MAX(0,E23-F23-G23),"")</f>
      </c>
      <c r="I23" s="2" t="str">
        <v>units</v>
      </c>
      <c r="J23" s="2" t="str">
        <v>To select</v>
      </c>
      <c r="K23" s="14"/>
      <c r="L23" s="14" t="str">
        <v>Search supplier</v>
      </c>
      <c r="M23" s="15" t="str">
        <v>Check existing equipment</v>
      </c>
      <c r="N23" s="15" t="str">
        <v>Match board sizes and controllable process profile.</v>
      </c>
      <c r="O23" s="15" t="str">
        <v>Supplier packaging</v>
      </c>
    </row>
    <row r="24" ht="42" customHeight="1">
      <c r="A24" s="2" t="str">
        <v>P1</v>
      </c>
      <c r="B24" s="2" t="str">
        <v>Lab equipment</v>
      </c>
      <c r="C24" s="15" t="str">
        <v>Reflow thermocouple profiler</v>
      </c>
      <c r="D24" s="15" t="str">
        <v>Match process</v>
      </c>
      <c r="E24" s="12" t="n">
        <v>1</v>
      </c>
      <c r="F24" s="12"/>
      <c r="G24" s="12"/>
      <c r="H24" s="13" t="str">
        <f>IF(AND(ISNUMBER(E24),ISNUMBER(F24),ISNUMBER(G24)),MAX(0,E24-F24-G24),"")</f>
      </c>
      <c r="I24" s="2" t="str">
        <v>sets</v>
      </c>
      <c r="J24" s="2" t="str">
        <v>To select</v>
      </c>
      <c r="K24" s="14"/>
      <c r="L24" s="14" t="str">
        <v>Search supplier</v>
      </c>
      <c r="M24" s="15" t="str">
        <v>Check existing equipment</v>
      </c>
      <c r="N24" s="15" t="str">
        <v>Verify solder profile at components.</v>
      </c>
      <c r="O24" s="15" t="str">
        <v>Supplier packaging</v>
      </c>
    </row>
    <row r="25" ht="42" customHeight="1">
      <c r="A25" s="2" t="str">
        <v>P1</v>
      </c>
      <c r="B25" s="2" t="str">
        <v>Lab equipment</v>
      </c>
      <c r="C25" s="15" t="str">
        <v>Inspection microscope</v>
      </c>
      <c r="D25" s="15" t="str">
        <v>Match process</v>
      </c>
      <c r="E25" s="12" t="n">
        <v>1</v>
      </c>
      <c r="F25" s="12"/>
      <c r="G25" s="12"/>
      <c r="H25" s="13" t="str">
        <f>IF(AND(ISNUMBER(E25),ISNUMBER(F25),ISNUMBER(G25)),MAX(0,E25-F25-G25),"")</f>
      </c>
      <c r="I25" s="2" t="str">
        <v>units</v>
      </c>
      <c r="J25" s="2" t="str">
        <v>To select</v>
      </c>
      <c r="K25" s="14"/>
      <c r="L25" s="14" t="str">
        <v>Search supplier</v>
      </c>
      <c r="M25" s="15" t="str">
        <v>Check existing equipment</v>
      </c>
      <c r="N25" s="15" t="str">
        <v>Inspect solder joints and placement.</v>
      </c>
      <c r="O25" s="15" t="str">
        <v>Supplier packaging</v>
      </c>
    </row>
    <row r="26" ht="42" customHeight="1">
      <c r="A26" s="2" t="str">
        <v>P1</v>
      </c>
      <c r="B26" s="2" t="str">
        <v>Lab equipment</v>
      </c>
      <c r="C26" s="15" t="str">
        <v>Soldering station</v>
      </c>
      <c r="D26" s="15" t="str">
        <v>Match process</v>
      </c>
      <c r="E26" s="12" t="n">
        <v>1</v>
      </c>
      <c r="F26" s="12"/>
      <c r="G26" s="12"/>
      <c r="H26" s="13" t="str">
        <f>IF(AND(ISNUMBER(E26),ISNUMBER(F26),ISNUMBER(G26)),MAX(0,E26-F26-G26),"")</f>
      </c>
      <c r="I26" s="2" t="str">
        <v>units</v>
      </c>
      <c r="J26" s="2" t="str">
        <v>To select</v>
      </c>
      <c r="K26" s="14"/>
      <c r="L26" s="14" t="str">
        <v>Search supplier</v>
      </c>
      <c r="M26" s="15" t="str">
        <v>Check existing equipment</v>
      </c>
      <c r="N26" s="15" t="str">
        <v>Assembly touch-up and through-hole soldering.</v>
      </c>
      <c r="O26" s="15" t="str">
        <v>Supplier packaging</v>
      </c>
    </row>
    <row r="27" ht="42" customHeight="1">
      <c r="A27" s="2" t="str">
        <v>P1</v>
      </c>
      <c r="B27" s="2" t="str">
        <v>Lab equipment</v>
      </c>
      <c r="C27" s="15" t="str">
        <v>Hot air rework station</v>
      </c>
      <c r="D27" s="15" t="str">
        <v>Match process</v>
      </c>
      <c r="E27" s="12" t="n">
        <v>1</v>
      </c>
      <c r="F27" s="12"/>
      <c r="G27" s="12"/>
      <c r="H27" s="13" t="str">
        <f>IF(AND(ISNUMBER(E27),ISNUMBER(F27),ISNUMBER(G27)),MAX(0,E27-F27-G27),"")</f>
      </c>
      <c r="I27" s="2" t="str">
        <v>units</v>
      </c>
      <c r="J27" s="2" t="str">
        <v>To select</v>
      </c>
      <c r="K27" s="14"/>
      <c r="L27" s="14" t="str">
        <v>Search supplier</v>
      </c>
      <c r="M27" s="15" t="str">
        <v>Check existing equipment</v>
      </c>
      <c r="N27" s="15" t="str">
        <v>Remove/replace SMT parts.</v>
      </c>
      <c r="O27" s="15" t="str">
        <v>Supplier packaging</v>
      </c>
    </row>
    <row r="28" ht="42" customHeight="1">
      <c r="A28" s="2" t="str">
        <v>P1</v>
      </c>
      <c r="B28" s="2" t="str">
        <v>Lab equipment</v>
      </c>
      <c r="C28" s="15" t="str">
        <v>Fume extraction</v>
      </c>
      <c r="D28" s="15" t="str">
        <v>Match process</v>
      </c>
      <c r="E28" s="12" t="n">
        <v>1</v>
      </c>
      <c r="F28" s="12"/>
      <c r="G28" s="12"/>
      <c r="H28" s="13" t="str">
        <f>IF(AND(ISNUMBER(E28),ISNUMBER(F28),ISNUMBER(G28)),MAX(0,E28-F28-G28),"")</f>
      </c>
      <c r="I28" s="2" t="str">
        <v>units</v>
      </c>
      <c r="J28" s="2" t="str">
        <v>To select</v>
      </c>
      <c r="K28" s="14"/>
      <c r="L28" s="14" t="str">
        <v>Search supplier</v>
      </c>
      <c r="M28" s="15" t="str">
        <v>Check existing equipment</v>
      </c>
      <c r="N28" s="15" t="str">
        <v>Local extraction for solder/rework station.</v>
      </c>
      <c r="O28" s="15" t="str">
        <v>Supplier packaging</v>
      </c>
    </row>
    <row r="29" ht="42" customHeight="1">
      <c r="A29" s="2" t="str">
        <v>P1</v>
      </c>
      <c r="B29" s="2" t="str">
        <v>Lab equipment</v>
      </c>
      <c r="C29" s="15" t="str">
        <v>ESD tweezers</v>
      </c>
      <c r="D29" s="15" t="str">
        <v>Match process</v>
      </c>
      <c r="E29" s="12" t="n">
        <v>1</v>
      </c>
      <c r="F29" s="12"/>
      <c r="G29" s="12"/>
      <c r="H29" s="13" t="str">
        <f>IF(AND(ISNUMBER(E29),ISNUMBER(F29),ISNUMBER(G29)),MAX(0,E29-F29-G29),"")</f>
      </c>
      <c r="I29" s="2" t="str">
        <v>sets</v>
      </c>
      <c r="J29" s="2" t="str">
        <v>To select</v>
      </c>
      <c r="K29" s="14"/>
      <c r="L29" s="14" t="str">
        <v>Search supplier</v>
      </c>
      <c r="M29" s="15" t="str">
        <v>Check existing equipment</v>
      </c>
      <c r="N29" s="15" t="str">
        <v>Handle parts during assembly and rework.</v>
      </c>
      <c r="O29" s="15" t="str">
        <v>Supplier packaging</v>
      </c>
    </row>
    <row r="30" ht="42" customHeight="1">
      <c r="A30" s="2" t="str">
        <v>P1</v>
      </c>
      <c r="B30" s="2" t="str">
        <v>Lab equipment</v>
      </c>
      <c r="C30" s="15" t="str">
        <v>Flux solder wick solder wire</v>
      </c>
      <c r="D30" s="15" t="str">
        <v>Match process</v>
      </c>
      <c r="E30" s="12" t="n">
        <v>1</v>
      </c>
      <c r="F30" s="12"/>
      <c r="G30" s="12"/>
      <c r="H30" s="13" t="str">
        <f>IF(AND(ISNUMBER(E30),ISNUMBER(F30),ISNUMBER(G30)),MAX(0,E30-F30-G30),"")</f>
      </c>
      <c r="I30" s="2" t="str">
        <v>kits</v>
      </c>
      <c r="J30" s="2" t="str">
        <v>To select</v>
      </c>
      <c r="K30" s="14"/>
      <c r="L30" s="14" t="str">
        <v>Search supplier</v>
      </c>
      <c r="M30" s="15" t="str">
        <v>Select process</v>
      </c>
      <c r="N30" s="15" t="str">
        <v>Select compatible assembly consumables.</v>
      </c>
      <c r="O30" s="15" t="str">
        <v>Supplier packaging</v>
      </c>
    </row>
    <row r="31" ht="42" customHeight="1">
      <c r="A31" s="2" t="str">
        <v>P1</v>
      </c>
      <c r="B31" s="2" t="str">
        <v>Lab equipment</v>
      </c>
      <c r="C31" s="15" t="str">
        <v>Electronics cleaning wipes and solvent</v>
      </c>
      <c r="D31" s="15" t="str">
        <v>Match process</v>
      </c>
      <c r="E31" s="12" t="n">
        <v>1</v>
      </c>
      <c r="F31" s="12"/>
      <c r="G31" s="12"/>
      <c r="H31" s="13" t="str">
        <f>IF(AND(ISNUMBER(E31),ISNUMBER(F31),ISNUMBER(G31)),MAX(0,E31-F31-G31),"")</f>
      </c>
      <c r="I31" s="2" t="str">
        <v>kits</v>
      </c>
      <c r="J31" s="2" t="str">
        <v>To select</v>
      </c>
      <c r="K31" s="14"/>
      <c r="L31" s="14" t="str">
        <v>Search supplier</v>
      </c>
      <c r="M31" s="15" t="str">
        <v>Select process</v>
      </c>
      <c r="N31" s="15" t="str">
        <v>Select for flux and material compatibility.</v>
      </c>
      <c r="O31" s="15" t="str">
        <v>Supplier packaging</v>
      </c>
    </row>
    <row r="32" ht="42" customHeight="1">
      <c r="A32" s="2" t="str">
        <v>P1</v>
      </c>
      <c r="B32" s="2" t="str">
        <v>Lab equipment</v>
      </c>
      <c r="C32" s="15" t="str">
        <v>Hook-up wire assortment</v>
      </c>
      <c r="D32" s="15" t="str">
        <v>Match process</v>
      </c>
      <c r="E32" s="12" t="n">
        <v>1</v>
      </c>
      <c r="F32" s="12"/>
      <c r="G32" s="12"/>
      <c r="H32" s="13" t="str">
        <f>IF(AND(ISNUMBER(E32),ISNUMBER(F32),ISNUMBER(G32)),MAX(0,E32-F32-G32),"")</f>
      </c>
      <c r="I32" s="2" t="str">
        <v>kits</v>
      </c>
      <c r="J32" s="2" t="str">
        <v>To select</v>
      </c>
      <c r="K32" s="14"/>
      <c r="L32" s="14" t="str">
        <v>Search supplier</v>
      </c>
      <c r="M32" s="15" t="str">
        <v>Select wire gauges</v>
      </c>
      <c r="N32" s="15" t="str">
        <v>Select gauge, insulation and colors for signal harnesses.</v>
      </c>
      <c r="O32" s="15" t="str">
        <v>Supplier packaging</v>
      </c>
    </row>
    <row r="33" ht="42" customHeight="1">
      <c r="A33" s="2" t="str">
        <v>P1</v>
      </c>
      <c r="B33" s="2" t="str">
        <v>Lab equipment</v>
      </c>
      <c r="C33" s="15" t="str">
        <v>Heat shrink assortment</v>
      </c>
      <c r="D33" s="15" t="str">
        <v>Match process</v>
      </c>
      <c r="E33" s="12" t="n">
        <v>1</v>
      </c>
      <c r="F33" s="12"/>
      <c r="G33" s="12"/>
      <c r="H33" s="13" t="str">
        <f>IF(AND(ISNUMBER(E33),ISNUMBER(F33),ISNUMBER(G33)),MAX(0,E33-F33-G33),"")</f>
      </c>
      <c r="I33" s="2" t="str">
        <v>kits</v>
      </c>
      <c r="J33" s="2" t="str">
        <v>To select</v>
      </c>
      <c r="K33" s="14"/>
      <c r="L33" s="14" t="str">
        <v>Search supplier</v>
      </c>
      <c r="M33" s="15" t="str">
        <v>Select model/spec</v>
      </c>
      <c r="N33" s="15" t="str">
        <v>Harness insulation and strain relief.</v>
      </c>
      <c r="O33" s="15" t="str">
        <v>Supplier packaging</v>
      </c>
    </row>
    <row r="34" ht="42" customHeight="1">
      <c r="A34" s="2" t="str">
        <v>P1</v>
      </c>
      <c r="B34" s="2" t="str">
        <v>Lab equipment</v>
      </c>
      <c r="C34" s="15" t="str">
        <v>JST GH compatible crimp tool</v>
      </c>
      <c r="D34" s="15" t="str">
        <v>Match process</v>
      </c>
      <c r="E34" s="12" t="n">
        <v>1</v>
      </c>
      <c r="F34" s="12"/>
      <c r="G34" s="12"/>
      <c r="H34" s="13" t="str">
        <f>IF(AND(ISNUMBER(E34),ISNUMBER(F34),ISNUMBER(G34)),MAX(0,E34-F34-G34),"")</f>
      </c>
      <c r="I34" s="2" t="str">
        <v>units</v>
      </c>
      <c r="J34" s="2" t="str">
        <v>To select</v>
      </c>
      <c r="K34" s="14"/>
      <c r="L34" s="14" t="str">
        <v>Search supplier</v>
      </c>
      <c r="M34" s="15" t="str">
        <v>Select contact first</v>
      </c>
      <c r="N34" s="15" t="str">
        <v>Match exact contact and wire gauge.</v>
      </c>
      <c r="O34" s="15" t="str">
        <v>Supplier packaging</v>
      </c>
    </row>
    <row r="35" ht="42" customHeight="1">
      <c r="A35" s="2" t="str">
        <v>P1</v>
      </c>
      <c r="B35" s="2" t="str">
        <v>Lab equipment</v>
      </c>
      <c r="C35" s="15" t="str">
        <v>Wire stripper and flush cutters</v>
      </c>
      <c r="D35" s="15" t="str">
        <v>Match process</v>
      </c>
      <c r="E35" s="12" t="n">
        <v>1</v>
      </c>
      <c r="F35" s="12"/>
      <c r="G35" s="12"/>
      <c r="H35" s="13" t="str">
        <f>IF(AND(ISNUMBER(E35),ISNUMBER(F35),ISNUMBER(G35)),MAX(0,E35-F35-G35),"")</f>
      </c>
      <c r="I35" s="2" t="str">
        <v>sets</v>
      </c>
      <c r="J35" s="2" t="str">
        <v>To select</v>
      </c>
      <c r="K35" s="14"/>
      <c r="L35" s="14" t="str">
        <v>Search supplier</v>
      </c>
      <c r="M35" s="15" t="str">
        <v>Check existing equipment</v>
      </c>
      <c r="N35" s="15" t="str">
        <v>Harness preparation and rework.</v>
      </c>
      <c r="O35" s="15" t="str">
        <v>Supplier packaging</v>
      </c>
    </row>
    <row r="36" ht="42" customHeight="1">
      <c r="A36" s="2" t="str">
        <v>P1</v>
      </c>
      <c r="B36" s="2" t="str">
        <v>Lab equipment</v>
      </c>
      <c r="C36" s="15" t="str">
        <v>Digital multimeter</v>
      </c>
      <c r="D36" s="15" t="str">
        <v>Match process</v>
      </c>
      <c r="E36" s="12" t="n">
        <v>2</v>
      </c>
      <c r="F36" s="12"/>
      <c r="G36" s="12"/>
      <c r="H36" s="13" t="str">
        <f>IF(AND(ISNUMBER(E36),ISNUMBER(F36),ISNUMBER(G36)),MAX(0,E36-F36-G36),"")</f>
      </c>
      <c r="I36" s="2" t="str">
        <v>units</v>
      </c>
      <c r="J36" s="2" t="str">
        <v>To select</v>
      </c>
      <c r="K36" s="14"/>
      <c r="L36" s="14" t="str">
        <v>Search supplier</v>
      </c>
      <c r="M36" s="15" t="str">
        <v>Check existing equipment</v>
      </c>
      <c r="N36" s="15" t="str">
        <v>Starter shared bench measurement pair.</v>
      </c>
      <c r="O36" s="15" t="str">
        <v>Supplier packaging</v>
      </c>
    </row>
    <row r="37" ht="42" customHeight="1">
      <c r="A37" s="2" t="str">
        <v>P1</v>
      </c>
      <c r="B37" s="2" t="str">
        <v>Lab equipment</v>
      </c>
      <c r="C37" s="15" t="str">
        <v>Bench DC power supply</v>
      </c>
      <c r="D37" s="15" t="str">
        <v>Match process</v>
      </c>
      <c r="E37" s="12" t="n">
        <v>1</v>
      </c>
      <c r="F37" s="12"/>
      <c r="G37" s="12"/>
      <c r="H37" s="13" t="str">
        <f>IF(AND(ISNUMBER(E37),ISNUMBER(F37),ISNUMBER(G37)),MAX(0,E37-F37-G37),"")</f>
      </c>
      <c r="I37" s="2" t="str">
        <v>units</v>
      </c>
      <c r="J37" s="2" t="str">
        <v>To select</v>
      </c>
      <c r="K37" s="14"/>
      <c r="L37" s="14" t="str">
        <v>Search supplier</v>
      </c>
      <c r="M37" s="15" t="str">
        <v>Select electrical range</v>
      </c>
      <c r="N37" s="15" t="str">
        <v>Select voltage/current range and current limiting for projects.</v>
      </c>
      <c r="O37" s="15" t="str">
        <v>Supplier packaging</v>
      </c>
    </row>
    <row r="38" ht="42" customHeight="1">
      <c r="A38" s="2" t="str">
        <v>P1</v>
      </c>
      <c r="B38" s="2" t="str">
        <v>Lab equipment</v>
      </c>
      <c r="C38" s="15" t="str">
        <v>Oscilloscope with probes</v>
      </c>
      <c r="D38" s="15" t="str">
        <v>Match process</v>
      </c>
      <c r="E38" s="12" t="n">
        <v>1</v>
      </c>
      <c r="F38" s="12"/>
      <c r="G38" s="12"/>
      <c r="H38" s="13" t="str">
        <f>IF(AND(ISNUMBER(E38),ISNUMBER(F38),ISNUMBER(G38)),MAX(0,E38-F38-G38),"")</f>
      </c>
      <c r="I38" s="2" t="str">
        <v>sets</v>
      </c>
      <c r="J38" s="2" t="str">
        <v>To select</v>
      </c>
      <c r="K38" s="14"/>
      <c r="L38" s="14" t="str">
        <v>Search supplier</v>
      </c>
      <c r="M38" s="15" t="str">
        <v>Select measurement needs</v>
      </c>
      <c r="N38" s="15" t="str">
        <v>Choose bandwidth, channels and appropriate probing for circuits.</v>
      </c>
      <c r="O38" s="15" t="str">
        <v>Supplier packaging</v>
      </c>
    </row>
    <row r="39" ht="42" customHeight="1">
      <c r="A39" s="2" t="str">
        <v>P1</v>
      </c>
      <c r="B39" s="2" t="str">
        <v>Lab equipment</v>
      </c>
      <c r="C39" s="15" t="str">
        <v>Logic analyzer</v>
      </c>
      <c r="D39" s="15" t="str">
        <v>Match process</v>
      </c>
      <c r="E39" s="12" t="n">
        <v>1</v>
      </c>
      <c r="F39" s="12"/>
      <c r="G39" s="12"/>
      <c r="H39" s="13" t="str">
        <f>IF(AND(ISNUMBER(E39),ISNUMBER(F39),ISNUMBER(G39)),MAX(0,E39-F39-G39),"")</f>
      </c>
      <c r="I39" s="2" t="str">
        <v>units</v>
      </c>
      <c r="J39" s="2" t="str">
        <v>To select</v>
      </c>
      <c r="K39" s="14"/>
      <c r="L39" s="14" t="str">
        <v>Search supplier</v>
      </c>
      <c r="M39" s="15" t="str">
        <v>Select interface voltage</v>
      </c>
      <c r="N39" s="15" t="str">
        <v>Inspect digital bus traffic and timing.</v>
      </c>
      <c r="O39" s="15" t="str">
        <v>Supplier packaging</v>
      </c>
    </row>
    <row r="40" ht="42" customHeight="1">
      <c r="A40" s="2" t="str">
        <v>P1</v>
      </c>
      <c r="B40" s="2" t="str">
        <v>Lab equipment</v>
      </c>
      <c r="C40" s="15" t="str">
        <v>Electronic load</v>
      </c>
      <c r="D40" s="15" t="str">
        <v>Match process</v>
      </c>
      <c r="E40" s="12" t="n">
        <v>1</v>
      </c>
      <c r="F40" s="12"/>
      <c r="G40" s="12"/>
      <c r="H40" s="13" t="str">
        <f>IF(AND(ISNUMBER(E40),ISNUMBER(F40),ISNUMBER(G40)),MAX(0,E40-F40-G40),"")</f>
      </c>
      <c r="I40" s="2" t="str">
        <v>units</v>
      </c>
      <c r="J40" s="2" t="str">
        <v>To select</v>
      </c>
      <c r="K40" s="14"/>
      <c r="L40" s="14" t="str">
        <v>Search supplier</v>
      </c>
      <c r="M40" s="15" t="str">
        <v>Select electrical range</v>
      </c>
      <c r="N40" s="15" t="str">
        <v>Validate power rails under steady and changing loads.</v>
      </c>
      <c r="O40" s="15" t="str">
        <v>Supplier packaging</v>
      </c>
    </row>
    <row r="41" ht="42" customHeight="1">
      <c r="A41" s="2" t="str">
        <v>P1</v>
      </c>
      <c r="B41" s="2" t="str">
        <v>Lab equipment</v>
      </c>
      <c r="C41" s="15" t="str">
        <v>MCU programmer debugger</v>
      </c>
      <c r="D41" s="15" t="str">
        <v>Match process</v>
      </c>
      <c r="E41" s="12" t="n">
        <v>1</v>
      </c>
      <c r="F41" s="12"/>
      <c r="G41" s="12"/>
      <c r="H41" s="13" t="str">
        <f>IF(AND(ISNUMBER(E41),ISNUMBER(F41),ISNUMBER(G41)),MAX(0,E41-F41-G41),"")</f>
      </c>
      <c r="I41" s="2" t="str">
        <v>units</v>
      </c>
      <c r="J41" s="2" t="str">
        <v>To select</v>
      </c>
      <c r="K41" s="14"/>
      <c r="L41" s="14" t="str">
        <v>Search supplier</v>
      </c>
      <c r="M41" s="15" t="str">
        <v>Select platform first</v>
      </c>
      <c r="N41" s="15" t="str">
        <v>Match chosen MCU platform.</v>
      </c>
      <c r="O41" s="15" t="str">
        <v>Supplier packaging</v>
      </c>
    </row>
  </sheetData>
  <conditionalFormatting sqref="H9:H41">
    <cfRule type="cellIs" dxfId="1" priority="1" operator="greaterThan">
      <formula>0</formula>
    </cfRule>
  </conditionalFormatting>
  <dataValidations count="4">
    <dataValidation type="whole" operator="between" sqref="E9:E41">
      <formula1>0</formula1>
      <formula2>10000000</formula2>
    </dataValidation>
    <dataValidation type="whole" operator="between" sqref="F9:F41">
      <formula1>0</formula1>
      <formula2>10000000</formula2>
    </dataValidation>
    <dataValidation type="whole" operator="between" sqref="G9:G41">
      <formula1>0</formula1>
      <formula2>10000000</formula2>
    </dataValidation>
    <dataValidation type="list" sqref="A9:A41">
      <formula1>"P1,P2"</formula1>
    </dataValidation>
  </dataValidations>
  <hyperlinks>
    <hyperlink ref="L9" r:id="labLink9L"/>
    <hyperlink ref="L10" r:id="labLink10L"/>
    <hyperlink ref="L11" r:id="labLink11L"/>
    <hyperlink ref="L12" r:id="labLink12L"/>
    <hyperlink ref="L13" r:id="labLink13L"/>
    <hyperlink ref="L14" r:id="labLink14L"/>
    <hyperlink ref="L15" r:id="labLink15L"/>
    <hyperlink ref="L16" r:id="labLink16L"/>
    <hyperlink ref="L17" r:id="labLink17L"/>
    <hyperlink ref="L18" r:id="labLink18L"/>
    <hyperlink ref="L19" r:id="labLink19L"/>
    <hyperlink ref="L20" r:id="labLink20L"/>
    <hyperlink ref="L21" r:id="labLink21L"/>
    <hyperlink ref="L22" r:id="labLink22L"/>
    <hyperlink ref="L23" r:id="labLink23L"/>
    <hyperlink ref="L24" r:id="labLink24L"/>
    <hyperlink ref="L25" r:id="labLink25L"/>
    <hyperlink ref="L26" r:id="labLink26L"/>
    <hyperlink ref="L27" r:id="labLink27L"/>
    <hyperlink ref="L28" r:id="labLink28L"/>
    <hyperlink ref="L29" r:id="labLink29L"/>
    <hyperlink ref="L30" r:id="labLink30L"/>
    <hyperlink ref="L31" r:id="labLink31L"/>
    <hyperlink ref="L32" r:id="labLink32L"/>
    <hyperlink ref="L33" r:id="labLink33L"/>
    <hyperlink ref="L34" r:id="labLink34L"/>
    <hyperlink ref="L35" r:id="labLink35L"/>
    <hyperlink ref="L36" r:id="labLink36L"/>
    <hyperlink ref="L37" r:id="labLink37L"/>
    <hyperlink ref="L38" r:id="labLink38L"/>
    <hyperlink ref="L39" r:id="labLink39L"/>
    <hyperlink ref="L40" r:id="labLink40L"/>
    <hyperlink ref="L41" r:id="labLink41L"/>
  </hyperlinks>
  <pageMargins left="0.7" right="0.7" top="0.75" bottom="0.75" header="0.3" footer="0.3"/>
  <tableParts count="1">
    <tablePart r:id="R699db258f05249b2"/>
  </tableParts>
</worksheet>
</file>