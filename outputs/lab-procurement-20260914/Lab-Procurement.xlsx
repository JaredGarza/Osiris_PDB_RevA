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635abd2c564ae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Lab components" sheetId="1" r:id="R9747d2daa90748dd"/>
    <sheet name="Equipment and supplies" sheetId="2" r:id="R446e0e21fcdb4093"/>
    <sheet name="Osiris build" sheetId="3" r:id="R3a164f17b77e4ca0"/>
    <sheet name="Price breaks" sheetId="4" r:id="Rb7cdf5a39a734a10"/>
    <sheet name="Supply risks" sheetId="5" r:id="Rccbcc925406b43f3"/>
    <sheet name="Link validation" sheetId="6" r:id="Rc4eb84da07364faf"/>
  </sheets>
  <definedNames>
    <definedName name="OsirisBoardCounts">'Price breaks'!$Y$2:$Y$12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&quot;$&quot;#,##0.00"/>
    <x:numFmt numFmtId="202" formatCode="&quot;$&quot;0.00000"/>
    <x:numFmt numFmtId="203" formatCode="0%"/>
    <x:numFmt numFmtId="204" formatCode="&quot;$&quot;#,##0.0000"/>
  </x:numFmts>
  <x:fonts count="6">
    <x:font>
      <x:sz val="11"/>
      <x:name val="Carlito"/>
    </x:font>
    <x:font>
      <x:sz val="10"/>
      <x:color rgb="FF203040"/>
      <x:name val="Arial"/>
    </x:font>
    <x:font>
      <x:b/>
      <x:sz val="15"/>
      <x:color rgb="FF203040"/>
      <x:name val="Arial"/>
    </x:font>
    <x:font>
      <x:b/>
      <x:sz val="10"/>
      <x:color rgb="FFFFFFFF"/>
      <x:name val="Arial"/>
    </x:font>
    <x:font>
      <x:sz val="10"/>
      <x:color rgb="FF0563C1"/>
      <x:name val="Arial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03D59"/>
      </x:patternFill>
    </x:fill>
    <x:fill>
      <x:patternFill patternType="solid">
        <x:fgColor rgb="FFFFF2CC"/>
      </x:patternFill>
    </x:fill>
    <x:fill>
      <x:patternFill patternType="solid">
        <x:fgColor rgb="FF203D59"/>
      </x:patternFill>
    </x:fill>
    <x:fill>
      <x:patternFill patternType="solid">
        <x:fgColor rgb="FFFFF2CC"/>
      </x:patternFill>
    </x:fill>
  </x:fills>
  <x:borders count="2">
    <x:border/>
    <x:border>
      <x:bottom style="thin">
        <x:color rgb="FF203D59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201" fontId="5" fillId="5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5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ill>
        <x:patternFill>
          <x:bgColor rgb="FFE2EFDA"/>
        </x:patternFill>
      </x:fill>
    </x:dxf>
    <x:dxf>
      <x:fill>
        <x:patternFill>
          <x:bgColor rgb="FFE2EFDA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e6056febd04659" /><Relationship Type="http://schemas.openxmlformats.org/officeDocument/2006/relationships/theme" Target="/xl/theme/theme1.xml" Id="Rfb350bba5b1e457f" /><Relationship Type="http://schemas.openxmlformats.org/officeDocument/2006/relationships/sharedStrings" Target="/xl/sharedStrings.xml" Id="Rd006af05af504266" /><Relationship Type="http://schemas.openxmlformats.org/officeDocument/2006/relationships/worksheet" Target="/xl/worksheets/sheet1.xml" Id="R9747d2daa90748dd" /><Relationship Type="http://schemas.openxmlformats.org/officeDocument/2006/relationships/worksheet" Target="/xl/worksheets/sheet2.xml" Id="R446e0e21fcdb4093" /><Relationship Type="http://schemas.openxmlformats.org/officeDocument/2006/relationships/worksheet" Target="/xl/worksheets/sheet3.xml" Id="R3a164f17b77e4ca0" /><Relationship Type="http://schemas.openxmlformats.org/officeDocument/2006/relationships/worksheet" Target="/xl/worksheets/sheet4.xml" Id="Rb7cdf5a39a734a10" /><Relationship Type="http://schemas.openxmlformats.org/officeDocument/2006/relationships/worksheet" Target="/xl/worksheets/sheet5.xml" Id="Rccbcc925406b43f3" /><Relationship Type="http://schemas.openxmlformats.org/officeDocument/2006/relationships/worksheet" Target="/xl/worksheets/sheet6.xml" Id="Rc4eb84da07364faf" /></Relationships>
</file>

<file path=xl/tables/table1.xml><?xml version="1.0" encoding="utf-8"?>
<x:table xmlns:x="http://schemas.openxmlformats.org/spreadsheetml/2006/main" id="1" name="LabComponents" displayName="LabComponents" ref="A8:O97" headerRowCount="1" totalsRowCount="0" totalsRowShown="0">
  <x:autoFilter ref="A8:O97"/>
  <x:tableColumns count="15">
    <x:tableColumn id="1" name="Priority"/>
    <x:tableColumn id="2" name="Category"/>
    <x:tableColumn id="3" name="Item / specification"/>
    <x:tableColumn id="4" name="Package"/>
    <x:tableColumn id="5" name="Target stock"/>
    <x:tableColumn id="6" name="Free stock"/>
    <x:tableColumn id="7" name="Open orders"/>
    <x:tableColumn id="8" name="Stock gap"/>
    <x:tableColumn id="9" name="Unit"/>
    <x:tableColumn id="10" name="Candidate family / code"/>
    <x:tableColumn id="11" name="Manufacturer"/>
    <x:tableColumn id="12" name="Supplier search"/>
    <x:tableColumn id="13" name="Selection needed"/>
    <x:tableColumn id="14" name="Use"/>
    <x:tableColumn id="15" name="Supply form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abEquipment" displayName="LabEquipment" ref="A8:O41" headerRowCount="1" totalsRowCount="0" totalsRowShown="0">
  <x:autoFilter ref="A8:O41"/>
  <x:tableColumns count="15">
    <x:tableColumn id="1" name="Priority"/>
    <x:tableColumn id="2" name="Category"/>
    <x:tableColumn id="3" name="Item / specification"/>
    <x:tableColumn id="4" name="Package"/>
    <x:tableColumn id="5" name="Target stock"/>
    <x:tableColumn id="6" name="Free stock"/>
    <x:tableColumn id="7" name="Open orders"/>
    <x:tableColumn id="8" name="Stock gap"/>
    <x:tableColumn id="9" name="Unit"/>
    <x:tableColumn id="10" name="Candidate family / code"/>
    <x:tableColumn id="11" name="Manufacturer"/>
    <x:tableColumn id="12" name="Supplier search"/>
    <x:tableColumn id="13" name="Selection needed"/>
    <x:tableColumn id="14" name="Use"/>
    <x:tableColumn id="15" name="Supply form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Type="http://schemas.openxmlformats.org/officeDocument/2006/relationships/table" Target="/xl/tables/table1.xml" Id="R79caaa10d0b04d06" /><ns0:Relationship Id="procurementLink0" Type="http://schemas.openxmlformats.org/officeDocument/2006/relationships/hyperlink" Target="https://www.digikey.com/en/products?keywords=0%20ohm%20jumper%200603%20EIA" TargetMode="External" /><ns0:Relationship Id="procurementLink1" Type="http://schemas.openxmlformats.org/officeDocument/2006/relationships/hyperlink" Target="https://www.digikey.com/en/products?keywords=100%20ohm%2C%201%25%2C%20%3E%3D0.1%20W%200603%20EIA" TargetMode="External" /><ns0:Relationship Id="procurementLink2" Type="http://schemas.openxmlformats.org/officeDocument/2006/relationships/hyperlink" Target="https://www.digikey.com/en/products?keywords=330%20ohm%2C%201%25%2C%20%3E%3D0.1%20W%200603%20EIA" TargetMode="External" /><ns0:Relationship Id="procurementLink3" Type="http://schemas.openxmlformats.org/officeDocument/2006/relationships/hyperlink" Target="https://www.digikey.com/en/products?keywords=1k%20ohm%2C%201%25%2C%20%3E%3D0.1%20W%200603%20EIA" TargetMode="External" /><ns0:Relationship Id="procurementLink4" Type="http://schemas.openxmlformats.org/officeDocument/2006/relationships/hyperlink" Target="https://www.digikey.com/en/products?keywords=4.7k%20ohm%2C%201%25%2C%20%3E%3D0.1%20W%200603%20EIA" TargetMode="External" /><ns0:Relationship Id="procurementLink5" Type="http://schemas.openxmlformats.org/officeDocument/2006/relationships/hyperlink" Target="https://www.digikey.com/en/products?keywords=10k%20ohm%2C%201%25%2C%20%3E%3D0.1%20W%200603%20EIA" TargetMode="External" /><ns0:Relationship Id="procurementLink6" Type="http://schemas.openxmlformats.org/officeDocument/2006/relationships/hyperlink" Target="https://www.digikey.com/en/products?keywords=100k%20ohm%2C%201%25%2C%20%3E%3D0.1%20W%200603%20EIA" TargetMode="External" /><ns0:Relationship Id="procurementLink7" Type="http://schemas.openxmlformats.org/officeDocument/2006/relationships/hyperlink" Target="https://www.digikey.com/en/products?keywords=10%20ohm%2C%201%25%2C%20%3E%3D0.1%20W%200603%20EIA" TargetMode="External" /><ns0:Relationship Id="procurementLink8" Type="http://schemas.openxmlformats.org/officeDocument/2006/relationships/hyperlink" Target="https://www.digikey.com/en/products?keywords=22%20ohm%2C%201%25%2C%20%3E%3D0.1%20W%200603%20EIA" TargetMode="External" /><ns0:Relationship Id="procurementLink9" Type="http://schemas.openxmlformats.org/officeDocument/2006/relationships/hyperlink" Target="https://www.digikey.com/en/products?keywords=33%20ohm%2C%201%25%2C%20%3E%3D0.1%20W%200603%20EIA" TargetMode="External" /><ns0:Relationship Id="procurementLink10" Type="http://schemas.openxmlformats.org/officeDocument/2006/relationships/hyperlink" Target="https://www.digikey.com/en/products?keywords=47%20ohm%2C%201%25%2C%20%3E%3D0.1%20W%200603%20EIA" TargetMode="External" /><ns0:Relationship Id="procurementLink11" Type="http://schemas.openxmlformats.org/officeDocument/2006/relationships/hyperlink" Target="https://www.digikey.com/en/products?keywords=49.9%20ohm%2C%201%25%2C%20%3E%3D0.1%20W%200603%20EIA" TargetMode="External" /><ns0:Relationship Id="procurementLink12" Type="http://schemas.openxmlformats.org/officeDocument/2006/relationships/hyperlink" Target="https://www.digikey.com/en/products?keywords=220%20ohm%2C%201%25%2C%20%3E%3D0.1%20W%200603%20EIA" TargetMode="External" /><ns0:Relationship Id="procurementLink13" Type="http://schemas.openxmlformats.org/officeDocument/2006/relationships/hyperlink" Target="https://www.digikey.com/en/products?keywords=470%20ohm%2C%201%25%2C%20%3E%3D0.1%20W%200603%20EIA" TargetMode="External" /><ns0:Relationship Id="procurementLink14" Type="http://schemas.openxmlformats.org/officeDocument/2006/relationships/hyperlink" Target="https://www.digikey.com/en/products?keywords=2.2k%20ohm%2C%201%25%2C%20%3E%3D0.1%20W%200603%20EIA" TargetMode="External" /><ns0:Relationship Id="procurementLink15" Type="http://schemas.openxmlformats.org/officeDocument/2006/relationships/hyperlink" Target="https://www.digikey.com/en/products?keywords=3.3k%20ohm%2C%201%25%2C%20%3E%3D0.1%20W%200603%20EIA" TargetMode="External" /><ns0:Relationship Id="procurementLink16" Type="http://schemas.openxmlformats.org/officeDocument/2006/relationships/hyperlink" Target="https://www.digikey.com/en/products?keywords=6.8k%20ohm%2C%201%25%2C%20%3E%3D0.1%20W%200603%20EIA" TargetMode="External" /><ns0:Relationship Id="procurementLink17" Type="http://schemas.openxmlformats.org/officeDocument/2006/relationships/hyperlink" Target="https://www.digikey.com/en/products?keywords=22k%20ohm%2C%201%25%2C%20%3E%3D0.1%20W%200603%20EIA" TargetMode="External" /><ns0:Relationship Id="procurementLink18" Type="http://schemas.openxmlformats.org/officeDocument/2006/relationships/hyperlink" Target="https://www.digikey.com/en/products?keywords=47k%20ohm%2C%201%25%2C%20%3E%3D0.1%20W%200603%20EIA" TargetMode="External" /><ns0:Relationship Id="procurementLink19" Type="http://schemas.openxmlformats.org/officeDocument/2006/relationships/hyperlink" Target="https://www.digikey.com/en/products?keywords=1M%20ohm%2C%201%25%2C%20%3E%3D0.1%20W%200603%20EIA" TargetMode="External" /><ns0:Relationship Id="procurementLink20" Type="http://schemas.openxmlformats.org/officeDocument/2006/relationships/hyperlink" Target="https://www.digikey.com/en/products?keywords=0%20ohm%20jumper%200402%20EIA" TargetMode="External" /><ns0:Relationship Id="procurementLink21" Type="http://schemas.openxmlformats.org/officeDocument/2006/relationships/hyperlink" Target="https://www.digikey.com/en/products?keywords=1k%20ohm%2C%201%25%2C%20%3E%3D0.0625%20W%200402%20EIA" TargetMode="External" /><ns0:Relationship Id="procurementLink22" Type="http://schemas.openxmlformats.org/officeDocument/2006/relationships/hyperlink" Target="https://www.digikey.com/en/products?keywords=4.7k%20ohm%2C%201%25%2C%20%3E%3D0.0625%20W%200402%20EIA" TargetMode="External" /><ns0:Relationship Id="procurementLink23" Type="http://schemas.openxmlformats.org/officeDocument/2006/relationships/hyperlink" Target="https://www.digikey.com/en/products?keywords=10k%20ohm%2C%201%25%2C%20%3E%3D0.0625%20W%200402%20EIA" TargetMode="External" /><ns0:Relationship Id="procurementLink24" Type="http://schemas.openxmlformats.org/officeDocument/2006/relationships/hyperlink" Target="https://www.digikey.com/en/products?keywords=100k%20ohm%2C%201%25%2C%20%3E%3D0.0625%20W%200402%20EIA" TargetMode="External" /><ns0:Relationship Id="procurementLink25" Type="http://schemas.openxmlformats.org/officeDocument/2006/relationships/hyperlink" Target="https://www.digikey.com/en/products?keywords=100%20nF%20X7R%2025%20V%2010%25%200603%20EIA" TargetMode="External" /><ns0:Relationship Id="procurementLink26" Type="http://schemas.openxmlformats.org/officeDocument/2006/relationships/hyperlink" Target="https://www.digikey.com/en/products?keywords=1%20uF%20X7R%2016%20V%2010%25%200603%20EIA" TargetMode="External" /><ns0:Relationship Id="procurementLink27" Type="http://schemas.openxmlformats.org/officeDocument/2006/relationships/hyperlink" Target="https://www.digikey.com/en/products?keywords=1%20nF%20X7R%2050%20V%2010%25%200603%20EIA" TargetMode="External" /><ns0:Relationship Id="procurementLink28" Type="http://schemas.openxmlformats.org/officeDocument/2006/relationships/hyperlink" Target="https://www.digikey.com/en/products?keywords=10%20nF%20X7R%2050%20V%2010%25%200603%20EIA" TargetMode="External" /><ns0:Relationship Id="procurementLink29" Type="http://schemas.openxmlformats.org/officeDocument/2006/relationships/hyperlink" Target="https://www.digikey.com/en/products?keywords=4.7%20uF%20X7R%2016%20V%2010%25%200805%20EIA" TargetMode="External" /><ns0:Relationship Id="procurementLink30" Type="http://schemas.openxmlformats.org/officeDocument/2006/relationships/hyperlink" Target="https://www.digikey.com/en/products?keywords=10%20uF%20X7R%2016%20V%2010%25%200805%20EIA" TargetMode="External" /><ns0:Relationship Id="procurementLink31" Type="http://schemas.openxmlformats.org/officeDocument/2006/relationships/hyperlink" Target="https://www.digikey.com/en/products?keywords=22%20pF%20C0G%2050%20V%205%25%200603%20EIA" TargetMode="External" /><ns0:Relationship Id="procurementLink32" Type="http://schemas.openxmlformats.org/officeDocument/2006/relationships/hyperlink" Target="https://www.digikey.com/en/products?keywords=47%20pF%20C0G%2050%20V%205%25%200603%20EIA" TargetMode="External" /><ns0:Relationship Id="procurementLink33" Type="http://schemas.openxmlformats.org/officeDocument/2006/relationships/hyperlink" Target="https://www.digikey.com/en/products?keywords=100%20pF%20C0G%2050%20V%205%25%200603%20EIA" TargetMode="External" /><ns0:Relationship Id="procurementLink34" Type="http://schemas.openxmlformats.org/officeDocument/2006/relationships/hyperlink" Target="https://www.digikey.com/en/products?keywords=1%20nF%20C0G%2050%20V%205%25%200603%20EIA" TargetMode="External" /><ns0:Relationship Id="procurementLink35" Type="http://schemas.openxmlformats.org/officeDocument/2006/relationships/hyperlink" Target="https://www.digikey.com/en/products?keywords=100%20nF%20X7R%2016%20V%2010%25%200402%20EIA" TargetMode="External" /><ns0:Relationship Id="procurementLink36" Type="http://schemas.openxmlformats.org/officeDocument/2006/relationships/hyperlink" Target="https://www.digikey.com/en/products?keywords=Ferrite%20bead%20Circuit-dependent" TargetMode="External" /><ns0:Relationship Id="procurementLink37" Type="http://schemas.openxmlformats.org/officeDocument/2006/relationships/hyperlink" Target="https://www.digikey.com/en/products?keywords=Power%20inductor%20Circuit-dependent" TargetMode="External" /><ns0:Relationship Id="procurementLink38" Type="http://schemas.openxmlformats.org/officeDocument/2006/relationships/hyperlink" Target="https://www.digikey.com/en/products?keywords=Bulk%20aluminum%20capacitor%20Circuit-dependent" TargetMode="External" /><ns0:Relationship Id="procurementLink39" Type="http://schemas.openxmlformats.org/officeDocument/2006/relationships/hyperlink" Target="https://www.digikey.com/en/products?keywords=Precision%20shunt%20resistor%20Circuit-dependent" TargetMode="External" /><ns0:Relationship Id="procurementLink40" Type="http://schemas.openxmlformats.org/officeDocument/2006/relationships/hyperlink" Target="https://www.ti.com/product/TLV755P" TargetMode="External" /><ns0:Relationship Id="procurementLink41" Type="http://schemas.openxmlformats.org/officeDocument/2006/relationships/hyperlink" Target="https://www.digikey.com/en/products?keywords=TLV755P" TargetMode="External" /><ns0:Relationship Id="procurementLink42" Type="http://schemas.openxmlformats.org/officeDocument/2006/relationships/hyperlink" Target="https://www.ti.com/product/TLV755P" TargetMode="External" /><ns0:Relationship Id="procurementLink43" Type="http://schemas.openxmlformats.org/officeDocument/2006/relationships/hyperlink" Target="https://www.digikey.com/en/products?keywords=TLV755P" TargetMode="External" /><ns0:Relationship Id="procurementLink44" Type="http://schemas.openxmlformats.org/officeDocument/2006/relationships/hyperlink" Target="https://www.ti.com/product/TLV9002" TargetMode="External" /><ns0:Relationship Id="procurementLink45" Type="http://schemas.openxmlformats.org/officeDocument/2006/relationships/hyperlink" Target="https://www.digikey.com/en/products?keywords=TLV9002" TargetMode="External" /><ns0:Relationship Id="procurementLink46" Type="http://schemas.openxmlformats.org/officeDocument/2006/relationships/hyperlink" Target="https://www.ti.com/product/TLV3201" TargetMode="External" /><ns0:Relationship Id="procurementLink47" Type="http://schemas.openxmlformats.org/officeDocument/2006/relationships/hyperlink" Target="https://www.digikey.com/en/products?keywords=TLV3201" TargetMode="External" /><ns0:Relationship Id="procurementLink48" Type="http://schemas.openxmlformats.org/officeDocument/2006/relationships/hyperlink" Target="https://www.ti.com/product/SN74LVC1G14" TargetMode="External" /><ns0:Relationship Id="procurementLink49" Type="http://schemas.openxmlformats.org/officeDocument/2006/relationships/hyperlink" Target="https://www.digikey.com/en/products?keywords=SN74LVC1G14" TargetMode="External" /><ns0:Relationship Id="procurementLink50" Type="http://schemas.openxmlformats.org/officeDocument/2006/relationships/hyperlink" Target="https://www.ti.com/product/SN74LVC1G125" TargetMode="External" /><ns0:Relationship Id="procurementLink51" Type="http://schemas.openxmlformats.org/officeDocument/2006/relationships/hyperlink" Target="https://www.digikey.com/en/products?keywords=SN74LVC1G125" TargetMode="External" /><ns0:Relationship Id="procurementLink52" Type="http://schemas.openxmlformats.org/officeDocument/2006/relationships/hyperlink" Target="https://www.ti.com/product/SN74LVC1T45" TargetMode="External" /><ns0:Relationship Id="procurementLink53" Type="http://schemas.openxmlformats.org/officeDocument/2006/relationships/hyperlink" Target="https://www.digikey.com/en/products?keywords=SN74LVC1T45" TargetMode="External" /><ns0:Relationship Id="procurementLink54" Type="http://schemas.openxmlformats.org/officeDocument/2006/relationships/hyperlink" Target="https://www.ti.com/product/TPS22918" TargetMode="External" /><ns0:Relationship Id="procurementLink55" Type="http://schemas.openxmlformats.org/officeDocument/2006/relationships/hyperlink" Target="https://www.digikey.com/en/products?keywords=TPS22918" TargetMode="External" /><ns0:Relationship Id="procurementLink56" Type="http://schemas.openxmlformats.org/officeDocument/2006/relationships/hyperlink" Target="https://www.ti.com/product/INA180" TargetMode="External" /><ns0:Relationship Id="procurementLink57" Type="http://schemas.openxmlformats.org/officeDocument/2006/relationships/hyperlink" Target="https://www.digikey.com/en/products?keywords=INA180" TargetMode="External" /><ns0:Relationship Id="procurementLink58" Type="http://schemas.openxmlformats.org/officeDocument/2006/relationships/hyperlink" Target="https://www.ti.com/product/TCAN332" TargetMode="External" /><ns0:Relationship Id="procurementLink59" Type="http://schemas.openxmlformats.org/officeDocument/2006/relationships/hyperlink" Target="https://www.digikey.com/en/products?keywords=TCAN332" TargetMode="External" /><ns0:Relationship Id="procurementLink60" Type="http://schemas.openxmlformats.org/officeDocument/2006/relationships/hyperlink" Target="https://www.digikey.com/en/products?keywords=Microcontroller%20Select%20platform" TargetMode="External" /><ns0:Relationship Id="procurementLink61" Type="http://schemas.openxmlformats.org/officeDocument/2006/relationships/hyperlink" Target="https://www.digikey.com/en/products?keywords=SPI%20flash%20Select%20platform" TargetMode="External" /><ns0:Relationship Id="procurementLink62" Type="http://schemas.openxmlformats.org/officeDocument/2006/relationships/hyperlink" Target="https://www.digikey.com/en/products?keywords=I2C%20EEPROM%20Select%20platform" TargetMode="External" /><ns0:Relationship Id="procurementLink63" Type="http://schemas.openxmlformats.org/officeDocument/2006/relationships/hyperlink" Target="https://www.digikey.com/en/products?keywords=RS-485%20transceiver%20Select%20platform" TargetMode="External" /><ns0:Relationship Id="procurementLink64" Type="http://schemas.openxmlformats.org/officeDocument/2006/relationships/hyperlink" Target="https://www.digikey.com/en/products?keywords=I2C%20level%20translator%20Select%20platform" TargetMode="External" /><ns0:Relationship Id="procurementLink65" Type="http://schemas.openxmlformats.org/officeDocument/2006/relationships/hyperlink" Target="https://www.digikey.com/en/products?keywords=Reset%20supervisor%20Select%20platform" TargetMode="External" /><ns0:Relationship Id="procurementLink66" Type="http://schemas.openxmlformats.org/officeDocument/2006/relationships/hyperlink" Target="https://www.digikey.com/en/products?keywords=USB%20UART%20bridge%20Select%20platform" TargetMode="External" /><ns0:Relationship Id="procurementLink67" Type="http://schemas.openxmlformats.org/officeDocument/2006/relationships/hyperlink" Target="https://www.digikey.com/en/products?keywords=Buck%20regulator%20circuit%20kit%20Select%20platform" TargetMode="External" /><ns0:Relationship Id="procurementLink68" Type="http://schemas.openxmlformats.org/officeDocument/2006/relationships/hyperlink" Target="https://www.digikey.com/en/products?keywords=IMU%20Select%20platform" TargetMode="External" /><ns0:Relationship Id="procurementLink69" Type="http://schemas.openxmlformats.org/officeDocument/2006/relationships/hyperlink" Target="https://www.digikey.com/en/products?keywords=Crystal%20or%20oscillator%20Select%20platform" TargetMode="External" /><ns0:Relationship Id="procurementLink70" Type="http://schemas.openxmlformats.org/officeDocument/2006/relationships/hyperlink" Target="https://www.digikey.com/en/products?keywords=Red%20indicator%20LED%200603%20EIA" TargetMode="External" /><ns0:Relationship Id="procurementLink71" Type="http://schemas.openxmlformats.org/officeDocument/2006/relationships/hyperlink" Target="https://www.digikey.com/en/products?keywords=Green%20indicator%20LED%200603%20EIA" TargetMode="External" /><ns0:Relationship Id="procurementLink72" Type="http://schemas.openxmlformats.org/officeDocument/2006/relationships/hyperlink" Target="https://www.digikey.com/en/products?keywords=Blue%20indicator%20LED%200603%20EIA" TargetMode="External" /><ns0:Relationship Id="procurementLink73" Type="http://schemas.openxmlformats.org/officeDocument/2006/relationships/hyperlink" Target="https://www.digikey.com/en/products?keywords=NPN%20switching%20transistor%20SOT-23" TargetMode="External" /><ns0:Relationship Id="procurementLink74" Type="http://schemas.openxmlformats.org/officeDocument/2006/relationships/hyperlink" Target="https://www.digikey.com/en/products?keywords=PNP%20switching%20transistor%20SOT-23" TargetMode="External" /><ns0:Relationship Id="procurementLink75" Type="http://schemas.openxmlformats.org/officeDocument/2006/relationships/hyperlink" Target="https://www.digikey.com/en/products?keywords=Logic-level%20N-MOSFET%20SOT-23" TargetMode="External" /><ns0:Relationship Id="procurementLink76" Type="http://schemas.openxmlformats.org/officeDocument/2006/relationships/hyperlink" Target="https://www.digikey.com/en/products?keywords=Logic-level%20P-MOSFET%20SOT-23" TargetMode="External" /><ns0:Relationship Id="procurementLink77" Type="http://schemas.openxmlformats.org/officeDocument/2006/relationships/hyperlink" Target="https://www.digikey.com/en/products?keywords=Fast%20small-signal%20diode%20Select%20package" TargetMode="External" /><ns0:Relationship Id="procurementLink78" Type="http://schemas.openxmlformats.org/officeDocument/2006/relationships/hyperlink" Target="https://www.digikey.com/en/products?keywords=Small%20Schottky%20diode%20Select%20package" TargetMode="External" /><ns0:Relationship Id="procurementLink79" Type="http://schemas.openxmlformats.org/officeDocument/2006/relationships/hyperlink" Target="https://www.digikey.com/en/products?keywords=Low-capacitance%20ESD%20array%20Circuit-dependent" TargetMode="External" /><ns0:Relationship Id="procurementLink80" Type="http://schemas.openxmlformats.org/officeDocument/2006/relationships/hyperlink" Target="https://www.digikey.com/en/products?keywords=Power-bus%20TVS%20diode%20Circuit-dependent" TargetMode="External" /><ns0:Relationship Id="procurementLink81" Type="http://schemas.openxmlformats.org/officeDocument/2006/relationships/hyperlink" Target="https://www.digikey.com/en/products?keywords=2.54%20mm%20male%20breakaway%20header%20Select%20footprint" TargetMode="External" /><ns0:Relationship Id="procurementLink82" Type="http://schemas.openxmlformats.org/officeDocument/2006/relationships/hyperlink" Target="https://www.digikey.com/en/products?keywords=2.54%20mm%20female%20header%20Select%20footprint" TargetMode="External" /><ns0:Relationship Id="procurementLink83" Type="http://schemas.openxmlformats.org/officeDocument/2006/relationships/hyperlink" Target="https://www.digikey.com/en/products?keywords=2.54%20mm%20jumper%20shunt%20Select%20footprint" TargetMode="External" /><ns0:Relationship Id="procurementLink84" Type="http://schemas.openxmlformats.org/officeDocument/2006/relationships/hyperlink" Target="https://www.digikey.com/en/products?keywords=PCB%20test%20point%20Select%20footprint" TargetMode="External" /><ns0:Relationship Id="procurementLink85" Type="http://schemas.openxmlformats.org/officeDocument/2006/relationships/hyperlink" Target="https://www.digikey.com/en/products?keywords=Tactile%20switch%20Select%20footprint" TargetMode="External" /><ns0:Relationship Id="procurementLink86" Type="http://schemas.openxmlformats.org/officeDocument/2006/relationships/hyperlink" Target="https://www.jst-mfg.com/product/index.php?series=105" TargetMode="External" /><ns0:Relationship Id="procurementLink87" Type="http://schemas.openxmlformats.org/officeDocument/2006/relationships/hyperlink" Target="https://www.digikey.com/en/products?keywords=JST%20GH%202%20pin" TargetMode="External" /><ns0:Relationship Id="procurementLink88" Type="http://schemas.openxmlformats.org/officeDocument/2006/relationships/hyperlink" Target="https://www.jst-mfg.com/product/index.php?series=105" TargetMode="External" /><ns0:Relationship Id="procurementLink89" Type="http://schemas.openxmlformats.org/officeDocument/2006/relationships/hyperlink" Target="https://www.digikey.com/en/products?keywords=JST%20GH%202%20housing" TargetMode="External" /><ns0:Relationship Id="procurementLink90" Type="http://schemas.openxmlformats.org/officeDocument/2006/relationships/hyperlink" Target="https://www.jst-mfg.com/product/index.php?series=105" TargetMode="External" /><ns0:Relationship Id="procurementLink91" Type="http://schemas.openxmlformats.org/officeDocument/2006/relationships/hyperlink" Target="https://www.digikey.com/en/products?keywords=JST%20GH%203%20pin" TargetMode="External" /><ns0:Relationship Id="procurementLink92" Type="http://schemas.openxmlformats.org/officeDocument/2006/relationships/hyperlink" Target="https://www.jst-mfg.com/product/index.php?series=105" TargetMode="External" /><ns0:Relationship Id="procurementLink93" Type="http://schemas.openxmlformats.org/officeDocument/2006/relationships/hyperlink" Target="https://www.digikey.com/en/products?keywords=JST%20GH%203%20housing" TargetMode="External" /><ns0:Relationship Id="procurementLink94" Type="http://schemas.openxmlformats.org/officeDocument/2006/relationships/hyperlink" Target="https://www.jst-mfg.com/product/index.php?series=105" TargetMode="External" /><ns0:Relationship Id="procurementLink95" Type="http://schemas.openxmlformats.org/officeDocument/2006/relationships/hyperlink" Target="https://www.digikey.com/en/products?keywords=JST%20GH%204%20pin" TargetMode="External" /><ns0:Relationship Id="procurementLink96" Type="http://schemas.openxmlformats.org/officeDocument/2006/relationships/hyperlink" Target="https://www.jst-mfg.com/product/index.php?series=105" TargetMode="External" /><ns0:Relationship Id="procurementLink97" Type="http://schemas.openxmlformats.org/officeDocument/2006/relationships/hyperlink" Target="https://www.digikey.com/en/products?keywords=JST%20GH%204%20housing" TargetMode="External" /><ns0:Relationship Id="procurementLink98" Type="http://schemas.openxmlformats.org/officeDocument/2006/relationships/hyperlink" Target="https://www.jst-mfg.com/product/index.php?series=105" TargetMode="External" /><ns0:Relationship Id="procurementLink99" Type="http://schemas.openxmlformats.org/officeDocument/2006/relationships/hyperlink" Target="https://www.digikey.com/en/products?keywords=JST%20GH%206%20pin" TargetMode="External" /><ns0:Relationship Id="procurementLink100" Type="http://schemas.openxmlformats.org/officeDocument/2006/relationships/hyperlink" Target="https://www.jst-mfg.com/product/index.php?series=105" TargetMode="External" /><ns0:Relationship Id="procurementLink101" Type="http://schemas.openxmlformats.org/officeDocument/2006/relationships/hyperlink" Target="https://www.digikey.com/en/products?keywords=JST%20GH%206%20housing" TargetMode="External" /><ns0:Relationship Id="procurementLink102" Type="http://schemas.openxmlformats.org/officeDocument/2006/relationships/hyperlink" Target="https://www.jst-mfg.com/product/index.php?series=105" TargetMode="External" /><ns0:Relationship Id="procurementLink103" Type="http://schemas.openxmlformats.org/officeDocument/2006/relationships/hyperlink" Target="https://www.digikey.com/en/products?keywords=JST%20GH%20crimp%20contact" TargetMode="External" /><ns0:Relationship Id="procurementLink104" Type="http://schemas.openxmlformats.org/officeDocument/2006/relationships/hyperlink" Target="https://www.digikey.com/en/products?keywords=Power%20connector%20mating%20pair%20Mechanical%20choice" TargetMode="External" /><ns0:Relationship Id="procurementLink105" Type="http://schemas.openxmlformats.org/officeDocument/2006/relationships/hyperlink" Target="https://www.digikey.com/en/products?keywords=USB%20connector%20Mechanical%20choice" TargetMode="External" /><ns0:Relationship Id="procurementLink106" Type="http://schemas.openxmlformats.org/officeDocument/2006/relationships/hyperlink" Target="https://www.digikey.com/en/products?keywords=SWD%20programming%20connector%20Mechanical%20choice" TargetMode="External" /><ns0:Relationship Id="procurementLink107" Type="http://schemas.openxmlformats.org/officeDocument/2006/relationships/hyperlink" Target="https://www.digikey.com/en/products?keywords=RF%20connector%20Mechanical%20choice" TargetMode="External" /></ns0:Relationships>
</file>

<file path=xl/worksheets/_rels/sheet2.xml.rels><?xml version='1.0' encoding='utf-8'?>
<ns0:Relationships xmlns:ns0="http://schemas.openxmlformats.org/package/2006/relationships"><ns0:Relationship Type="http://schemas.openxmlformats.org/officeDocument/2006/relationships/table" Target="/xl/tables/table2.xml" Id="Rf776fad9f5604c03" /><ns0:Relationship Id="procurementLink0" Type="http://schemas.openxmlformats.org/officeDocument/2006/relationships/hyperlink" Target="https://www.digikey.com/en/products?keywords=PnP%20feeders" TargetMode="External" /><ns0:Relationship Id="procurementLink1" Type="http://schemas.openxmlformats.org/officeDocument/2006/relationships/hyperlink" Target="https://www.digikey.com/en/products?keywords=PnP%20nozzle%20set" TargetMode="External" /><ns0:Relationship Id="procurementLink2" Type="http://schemas.openxmlformats.org/officeDocument/2006/relationships/hyperlink" Target="https://www.digikey.com/en/products?keywords=Cut-tape%20fixture" TargetMode="External" /><ns0:Relationship Id="procurementLink3" Type="http://schemas.openxmlformats.org/officeDocument/2006/relationships/hyperlink" Target="https://www.digikey.com/en/products?keywords=Tape%20leader%20and%20splice%20supplies" TargetMode="External" /><ns0:Relationship Id="procurementLink4" Type="http://schemas.openxmlformats.org/officeDocument/2006/relationships/hyperlink" Target="https://www.digikey.com/en/products?keywords=Reel%20storage%20rack" TargetMode="External" /><ns0:Relationship Id="procurementLink5" Type="http://schemas.openxmlformats.org/officeDocument/2006/relationships/hyperlink" Target="https://www.digikey.com/en/products?keywords=Component%20label%20printer" TargetMode="External" /><ns0:Relationship Id="procurementLink6" Type="http://schemas.openxmlformats.org/officeDocument/2006/relationships/hyperlink" Target="https://www.digikey.com/en/products?keywords=ESD%20component%20storage%20bins" TargetMode="External" /><ns0:Relationship Id="procurementLink7" Type="http://schemas.openxmlformats.org/officeDocument/2006/relationships/hyperlink" Target="https://www.digikey.com/en/products?keywords=ESD%20mat%20and%20wrist%20strap%20kit" TargetMode="External" /><ns0:Relationship Id="procurementLink8" Type="http://schemas.openxmlformats.org/officeDocument/2006/relationships/hyperlink" Target="https://www.digikey.com/en/products?keywords=Moisture%20barrier%20bags%20desiccant%20humidity%20cards" TargetMode="External" /><ns0:Relationship Id="procurementLink9" Type="http://schemas.openxmlformats.org/officeDocument/2006/relationships/hyperlink" Target="https://www.digikey.com/en/products?keywords=Dry%20cabinet" TargetMode="External" /><ns0:Relationship Id="procurementLink10" Type="http://schemas.openxmlformats.org/officeDocument/2006/relationships/hyperlink" Target="https://www.digikey.com/en/products?keywords=Solder%20paste" TargetMode="External" /><ns0:Relationship Id="procurementLink11" Type="http://schemas.openxmlformats.org/officeDocument/2006/relationships/hyperlink" Target="https://www.digikey.com/en/products?keywords=Stencil%20printer%20or%20alignment%20fixture" TargetMode="External" /><ns0:Relationship Id="procurementLink12" Type="http://schemas.openxmlformats.org/officeDocument/2006/relationships/hyperlink" Target="https://www.digikey.com/en/products?keywords=PCB%20stencil" TargetMode="External" /><ns0:Relationship Id="procurementLink13" Type="http://schemas.openxmlformats.org/officeDocument/2006/relationships/hyperlink" Target="https://www.digikey.com/en/products?keywords=PCB%20support%20fixtures" TargetMode="External" /><ns0:Relationship Id="procurementLink14" Type="http://schemas.openxmlformats.org/officeDocument/2006/relationships/hyperlink" Target="https://www.digikey.com/en/products?keywords=Reflow%20oven" TargetMode="External" /><ns0:Relationship Id="procurementLink15" Type="http://schemas.openxmlformats.org/officeDocument/2006/relationships/hyperlink" Target="https://www.digikey.com/en/products?keywords=Reflow%20thermocouple%20profiler" TargetMode="External" /><ns0:Relationship Id="procurementLink16" Type="http://schemas.openxmlformats.org/officeDocument/2006/relationships/hyperlink" Target="https://www.digikey.com/en/products?keywords=Inspection%20microscope" TargetMode="External" /><ns0:Relationship Id="procurementLink17" Type="http://schemas.openxmlformats.org/officeDocument/2006/relationships/hyperlink" Target="https://www.digikey.com/en/products?keywords=Soldering%20station" TargetMode="External" /><ns0:Relationship Id="procurementLink18" Type="http://schemas.openxmlformats.org/officeDocument/2006/relationships/hyperlink" Target="https://www.digikey.com/en/products?keywords=Hot%20air%20rework%20station" TargetMode="External" /><ns0:Relationship Id="procurementLink19" Type="http://schemas.openxmlformats.org/officeDocument/2006/relationships/hyperlink" Target="https://www.digikey.com/en/products?keywords=Fume%20extraction" TargetMode="External" /><ns0:Relationship Id="procurementLink20" Type="http://schemas.openxmlformats.org/officeDocument/2006/relationships/hyperlink" Target="https://www.digikey.com/en/products?keywords=ESD%20tweezers" TargetMode="External" /><ns0:Relationship Id="procurementLink21" Type="http://schemas.openxmlformats.org/officeDocument/2006/relationships/hyperlink" Target="https://www.digikey.com/en/products?keywords=Flux%20solder%20wick%20solder%20wire" TargetMode="External" /><ns0:Relationship Id="procurementLink22" Type="http://schemas.openxmlformats.org/officeDocument/2006/relationships/hyperlink" Target="https://www.digikey.com/en/products?keywords=Electronics%20cleaning%20wipes%20and%20solvent" TargetMode="External" /><ns0:Relationship Id="procurementLink23" Type="http://schemas.openxmlformats.org/officeDocument/2006/relationships/hyperlink" Target="https://www.digikey.com/en/products?keywords=Hook-up%20wire%20assortment" TargetMode="External" /><ns0:Relationship Id="procurementLink24" Type="http://schemas.openxmlformats.org/officeDocument/2006/relationships/hyperlink" Target="https://www.digikey.com/en/products?keywords=Heat%20shrink%20assortment" TargetMode="External" /><ns0:Relationship Id="procurementLink25" Type="http://schemas.openxmlformats.org/officeDocument/2006/relationships/hyperlink" Target="https://www.digikey.com/en/products?keywords=JST%20GH%20compatible%20crimp%20tool" TargetMode="External" /><ns0:Relationship Id="procurementLink26" Type="http://schemas.openxmlformats.org/officeDocument/2006/relationships/hyperlink" Target="https://www.digikey.com/en/products?keywords=Wire%20stripper%20and%20flush%20cutters" TargetMode="External" /><ns0:Relationship Id="procurementLink27" Type="http://schemas.openxmlformats.org/officeDocument/2006/relationships/hyperlink" Target="https://www.digikey.com/en/products?keywords=Digital%20multimeter" TargetMode="External" /><ns0:Relationship Id="procurementLink28" Type="http://schemas.openxmlformats.org/officeDocument/2006/relationships/hyperlink" Target="https://www.digikey.com/en/products?keywords=Bench%20DC%20power%20supply" TargetMode="External" /><ns0:Relationship Id="procurementLink29" Type="http://schemas.openxmlformats.org/officeDocument/2006/relationships/hyperlink" Target="https://www.digikey.com/en/products?keywords=Oscilloscope%20with%20probes" TargetMode="External" /><ns0:Relationship Id="procurementLink30" Type="http://schemas.openxmlformats.org/officeDocument/2006/relationships/hyperlink" Target="https://www.digikey.com/en/products?keywords=Logic%20analyzer" TargetMode="External" /><ns0:Relationship Id="procurementLink31" Type="http://schemas.openxmlformats.org/officeDocument/2006/relationships/hyperlink" Target="https://www.digikey.com/en/products?keywords=Electronic%20load" TargetMode="External" /><ns0:Relationship Id="procurementLink32" Type="http://schemas.openxmlformats.org/officeDocument/2006/relationships/hyperlink" Target="https://www.digikey.com/en/products?keywords=MCU%20programmer%20debugger" TargetMode="External" /></ns0:Relationships>
</file>

<file path=xl/worksheets/_rels/sheet3.xml.rels><?xml version='1.0' encoding='utf-8'?>
<ns0:Relationships xmlns:ns0="http://schemas.openxmlformats.org/package/2006/relationships"><ns0:Relationship Id="procurementLink0" Type="http://schemas.openxmlformats.org/officeDocument/2006/relationships/hyperlink" Target="https://www.digikey.com/en/products/detail/bosch-sensortec/BMI088/8634936" TargetMode="External" /><ns0:Relationship Id="procurementLink1" Type="http://schemas.openxmlformats.org/officeDocument/2006/relationships/hyperlink" Target="https://www.digikey.com/en/products/detail/tdk/HHM1595A1/1641775" TargetMode="External" /><ns0:Relationship Id="procurementLink2" Type="http://schemas.openxmlformats.org/officeDocument/2006/relationships/hyperlink" Target="https://www.digikey.com/en/products/detail/tdk-invensense/ICM-42688-P/10824934" TargetMode="External" /><ns0:Relationship Id="procurementLink3" Type="http://schemas.openxmlformats.org/officeDocument/2006/relationships/hyperlink" Target="https://www.digikey.com/en/products/detail/stmicroelectronics/LIS2MDLTR/7565512" TargetMode="External" /><ns0:Relationship Id="procurementLink4" Type="http://schemas.openxmlformats.org/officeDocument/2006/relationships/hyperlink" Target="https://www.digikey.com/en/products/detail/stmicroelectronics/LPS22HBTR/5799910" TargetMode="External" /><ns0:Relationship Id="procurementLink5" Type="http://schemas.openxmlformats.org/officeDocument/2006/relationships/hyperlink" Target="https://www.digikey.com/en/products/detail/stmicroelectronics/STM32F446RET6/5175962" TargetMode="External" /><ns0:Relationship Id="procurementLink6" Type="http://schemas.openxmlformats.org/officeDocument/2006/relationships/hyperlink" Target="https://www.digikey.com/en/products/detail/stmicroelectronics/STM32H743IIK6/7915905" TargetMode="External" /><ns0:Relationship Id="procurementLink7" Type="http://schemas.openxmlformats.org/officeDocument/2006/relationships/hyperlink" Target="https://www.digikey.com/en/products/detail/stmicroelectronics/TESEO-LIV3R/10222210" TargetMode="External" /><ns0:Relationship Id="procurementLink8" Type="http://schemas.openxmlformats.org/officeDocument/2006/relationships/hyperlink" Target="https://store.qorvo.com/products/detail/dw1000itr13-qorvo/681945/" TargetMode="External" /><ns0:Relationship Id="procurementLink9" Type="http://schemas.openxmlformats.org/officeDocument/2006/relationships/hyperlink" Target="https://www.digikey.com/en/products/detail/infineon-technologies/FM25V01A-GTR/5210534" TargetMode="External" /><ns0:Relationship Id="procurementLink10" Type="http://schemas.openxmlformats.org/officeDocument/2006/relationships/hyperlink" Target="https://www.digikey.com/en/products/detail/microchip-technology/LAN7800-Y9X/6593015" TargetMode="External" /><ns0:Relationship Id="procurementLink11" Type="http://schemas.openxmlformats.org/officeDocument/2006/relationships/hyperlink" Target="https://www.digikey.com/en/products/detail/skyworks-solutions-inc/RFX2401C/6172935" TargetMode="External" /><ns0:Relationship Id="procurementLink12" Type="http://schemas.openxmlformats.org/officeDocument/2006/relationships/hyperlink" Target="https://www.digikey.com/en/products/detail/skyworks-solutions-inc/SKY13585-679LF/6172968" TargetMode="External" /><ns0:Relationship Id="procurementLink13" Type="http://schemas.openxmlformats.org/officeDocument/2006/relationships/hyperlink" Target="https://www.digikey.com/en/products/detail/stmicroelectronics/ST33HTPH2X32AHE4/18085561" TargetMode="External" /><ns0:Relationship Id="procurementLink14" Type="http://schemas.openxmlformats.org/officeDocument/2006/relationships/hyperlink" Target="https://www.digikey.com/en/products/detail/semtech-corporation/SX1280IMLTRT/7203797" TargetMode="External" /><ns0:Relationship Id="procurementLink15" Type="http://schemas.openxmlformats.org/officeDocument/2006/relationships/hyperlink" Target="https://www.digikey.com/en/products/detail/texas-instruments/THVD1551DGK/8286292" TargetMode="External" /><ns0:Relationship Id="procurementLink16" Type="http://schemas.openxmlformats.org/officeDocument/2006/relationships/hyperlink" Target="https://www.digikey.com/en/products/detail/texas-instruments/TXB0104RGYR/1629103" TargetMode="External" /><ns0:Relationship Id="procurementLink17" Type="http://schemas.openxmlformats.org/officeDocument/2006/relationships/hyperlink" Target="https://www.digikey.com/en/products/detail/microchip-technology/USB5744-I-2G/5323586" TargetMode="External" /><ns0:Relationship Id="procurementLink18" Type="http://schemas.openxmlformats.org/officeDocument/2006/relationships/hyperlink" Target="https://www.digikey.com/en/products?keywords=0p3" TargetMode="External" /><ns0:Relationship Id="procurementLink19" Type="http://schemas.openxmlformats.org/officeDocument/2006/relationships/hyperlink" Target="https://www.digikey.com/en/products?keywords=0p5%20%C5%BD%20%2B%2F-%20.05" TargetMode="External" /><ns0:Relationship Id="procurementLink20" Type="http://schemas.openxmlformats.org/officeDocument/2006/relationships/hyperlink" Target="https://www.digikey.com/en/products?keywords=0p8%20.1%25" TargetMode="External" /><ns0:Relationship Id="procurementLink21" Type="http://schemas.openxmlformats.org/officeDocument/2006/relationships/hyperlink" Target="https://www.digikey.com/en/products?keywords=1-1734248-5" TargetMode="External" /><ns0:Relationship Id="procurementLink22" Type="http://schemas.openxmlformats.org/officeDocument/2006/relationships/hyperlink" Target="https://www.digikey.com/en/products?keywords=1-2199230-5" TargetMode="External" /><ns0:Relationship Id="procurementLink23" Type="http://schemas.openxmlformats.org/officeDocument/2006/relationships/hyperlink" Target="https://www.digikey.com/en/products?keywords=10" TargetMode="External" /><ns0:Relationship Id="procurementLink24" Type="http://schemas.openxmlformats.org/officeDocument/2006/relationships/hyperlink" Target="https://www.digikey.com/en/products?keywords=100" TargetMode="External" /><ns0:Relationship Id="procurementLink25" Type="http://schemas.openxmlformats.org/officeDocument/2006/relationships/hyperlink" Target="https://www.digikey.com/en/products?keywords=100k" TargetMode="External" /><ns0:Relationship Id="procurementLink26" Type="http://schemas.openxmlformats.org/officeDocument/2006/relationships/hyperlink" Target="https://www.digikey.com/en/products?keywords=100n" TargetMode="External" /><ns0:Relationship Id="procurementLink27" Type="http://schemas.openxmlformats.org/officeDocument/2006/relationships/hyperlink" Target="https://www.digikey.com/en/products?keywords=100p" TargetMode="External" /><ns0:Relationship Id="procurementLink28" Type="http://schemas.openxmlformats.org/officeDocument/2006/relationships/hyperlink" Target="https://www.digikey.com/en/products?keywords=100u" TargetMode="External" /><ns0:Relationship Id="procurementLink29" Type="http://schemas.openxmlformats.org/officeDocument/2006/relationships/hyperlink" Target="https://www.digikey.com/en/products?keywords=1054500101" TargetMode="External" /><ns0:Relationship Id="procurementLink30" Type="http://schemas.openxmlformats.org/officeDocument/2006/relationships/hyperlink" Target="https://www.digikey.com/en/products?keywords=10k" TargetMode="External" /><ns0:Relationship Id="procurementLink31" Type="http://schemas.openxmlformats.org/officeDocument/2006/relationships/hyperlink" Target="https://www.digikey.com/en/products?keywords=10n" TargetMode="External" /><ns0:Relationship Id="procurementLink32" Type="http://schemas.openxmlformats.org/officeDocument/2006/relationships/hyperlink" Target="https://www.digikey.com/en/products?keywords=10p" TargetMode="External" /><ns0:Relationship Id="procurementLink33" Type="http://schemas.openxmlformats.org/officeDocument/2006/relationships/hyperlink" Target="https://www.digikey.com/en/products?keywords=10u" TargetMode="External" /><ns0:Relationship Id="procurementLink34" Type="http://schemas.openxmlformats.org/officeDocument/2006/relationships/hyperlink" Target="https://www.digikey.com/en/products?keywords=11k" TargetMode="External" /><ns0:Relationship Id="procurementLink35" Type="http://schemas.openxmlformats.org/officeDocument/2006/relationships/hyperlink" Target="https://www.digikey.com/en/products?keywords=120" TargetMode="External" /><ns0:Relationship Id="procurementLink36" Type="http://schemas.openxmlformats.org/officeDocument/2006/relationships/hyperlink" Target="https://www.digikey.com/en/products?keywords=12k" TargetMode="External" /><ns0:Relationship Id="procurementLink37" Type="http://schemas.openxmlformats.org/officeDocument/2006/relationships/hyperlink" Target="https://www.digikey.com/en/products?keywords=12k%201%25" TargetMode="External" /><ns0:Relationship Id="procurementLink38" Type="http://schemas.openxmlformats.org/officeDocument/2006/relationships/hyperlink" Target="https://www.digikey.com/en/products?keywords=12p" TargetMode="External" /><ns0:Relationship Id="procurementLink39" Type="http://schemas.openxmlformats.org/officeDocument/2006/relationships/hyperlink" Target="https://www.digikey.com/en/products?keywords=15k%201%25" TargetMode="External" /><ns0:Relationship Id="procurementLink40" Type="http://schemas.openxmlformats.org/officeDocument/2006/relationships/hyperlink" Target="https://www.digikey.com/en/products?keywords=16k" TargetMode="External" /><ns0:Relationship Id="procurementLink41" Type="http://schemas.openxmlformats.org/officeDocument/2006/relationships/hyperlink" Target="https://www.digikey.com/en/products?keywords=16p" TargetMode="External" /><ns0:Relationship Id="procurementLink42" Type="http://schemas.openxmlformats.org/officeDocument/2006/relationships/hyperlink" Target="https://www.digikey.com/en/products?keywords=18p" TargetMode="External" /><ns0:Relationship Id="procurementLink43" Type="http://schemas.openxmlformats.org/officeDocument/2006/relationships/hyperlink" Target="https://www.digikey.com/en/products?keywords=1k" TargetMode="External" /><ns0:Relationship Id="procurementLink44" Type="http://schemas.openxmlformats.org/officeDocument/2006/relationships/hyperlink" Target="https://www.digikey.com/en/products?keywords=1n" TargetMode="External" /><ns0:Relationship Id="procurementLink45" Type="http://schemas.openxmlformats.org/officeDocument/2006/relationships/hyperlink" Target="https://www.digikey.com/en/products?keywords=1n2" TargetMode="External" /><ns0:Relationship Id="procurementLink46" Type="http://schemas.openxmlformats.org/officeDocument/2006/relationships/hyperlink" Target="https://www.digikey.com/en/products?keywords=1p2" TargetMode="External" /><ns0:Relationship Id="procurementLink47" Type="http://schemas.openxmlformats.org/officeDocument/2006/relationships/hyperlink" Target="https://www.digikey.com/en/products?keywords=1p2%20.1%25" TargetMode="External" /><ns0:Relationship Id="procurementLink48" Type="http://schemas.openxmlformats.org/officeDocument/2006/relationships/hyperlink" Target="https://www.digikey.com/en/products?keywords=1u" TargetMode="External" /><ns0:Relationship Id="procurementLink49" Type="http://schemas.openxmlformats.org/officeDocument/2006/relationships/hyperlink" Target="https://www.digikey.com/en/products?keywords=200" TargetMode="External" /><ns0:Relationship Id="procurementLink50" Type="http://schemas.openxmlformats.org/officeDocument/2006/relationships/hyperlink" Target="https://www.digikey.com/en/products?keywords=2041119-1" TargetMode="External" /><ns0:Relationship Id="procurementLink51" Type="http://schemas.openxmlformats.org/officeDocument/2006/relationships/hyperlink" Target="https://www.digikey.com/en/products?keywords=20k" TargetMode="External" /><ns0:Relationship Id="procurementLink52" Type="http://schemas.openxmlformats.org/officeDocument/2006/relationships/hyperlink" Target="https://www.digikey.com/en/products?keywords=2199230-3" TargetMode="External" /><ns0:Relationship Id="procurementLink53" Type="http://schemas.openxmlformats.org/officeDocument/2006/relationships/hyperlink" Target="https://www.digikey.com/en/products?keywords=220n" TargetMode="External" /><ns0:Relationship Id="procurementLink54" Type="http://schemas.openxmlformats.org/officeDocument/2006/relationships/hyperlink" Target="https://www.digikey.com/en/products?keywords=220p" TargetMode="External" /><ns0:Relationship Id="procurementLink55" Type="http://schemas.openxmlformats.org/officeDocument/2006/relationships/hyperlink" Target="https://www.digikey.com/en/products?keywords=22u" TargetMode="External" /><ns0:Relationship Id="procurementLink56" Type="http://schemas.openxmlformats.org/officeDocument/2006/relationships/hyperlink" Target="https://www.digikey.com/en/products?keywords=2337992-8" TargetMode="External" /><ns0:Relationship Id="procurementLink57" Type="http://schemas.openxmlformats.org/officeDocument/2006/relationships/hyperlink" Target="https://www.digikey.com/en/products?keywords=24k" TargetMode="External" /><ns0:Relationship Id="procurementLink58" Type="http://schemas.openxmlformats.org/officeDocument/2006/relationships/hyperlink" Target="https://www.digikey.com/en/products?keywords=270" TargetMode="External" /><ns0:Relationship Id="procurementLink59" Type="http://schemas.openxmlformats.org/officeDocument/2006/relationships/hyperlink" Target="https://www.digikey.com/en/products?keywords=27p" TargetMode="External" /><ns0:Relationship Id="procurementLink60" Type="http://schemas.openxmlformats.org/officeDocument/2006/relationships/hyperlink" Target="https://www.digikey.com/en/products?keywords=2k" TargetMode="External" /><ns0:Relationship Id="procurementLink61" Type="http://schemas.openxmlformats.org/officeDocument/2006/relationships/hyperlink" Target="https://www.digikey.com/en/products?keywords=2k2" TargetMode="External" /><ns0:Relationship Id="procurementLink62" Type="http://schemas.openxmlformats.org/officeDocument/2006/relationships/hyperlink" Target="https://www.digikey.com/en/products?keywords=2u2" TargetMode="External" /><ns0:Relationship Id="procurementLink63" Type="http://schemas.openxmlformats.org/officeDocument/2006/relationships/hyperlink" Target="https://www.digikey.com/en/products?keywords=30k" TargetMode="External" /><ns0:Relationship Id="procurementLink64" Type="http://schemas.openxmlformats.org/officeDocument/2006/relationships/hyperlink" Target="https://www.digikey.com/en/products?keywords=330k" TargetMode="External" /><ns0:Relationship Id="procurementLink65" Type="http://schemas.openxmlformats.org/officeDocument/2006/relationships/hyperlink" Target="https://www.digikey.com/en/products?keywords=330p" TargetMode="External" /><ns0:Relationship Id="procurementLink66" Type="http://schemas.openxmlformats.org/officeDocument/2006/relationships/hyperlink" Target="https://www.digikey.com/en/products?keywords=36103255S" TargetMode="External" /><ns0:Relationship Id="procurementLink67" Type="http://schemas.openxmlformats.org/officeDocument/2006/relationships/hyperlink" Target="https://www.digikey.com/en/products?keywords=470k" TargetMode="External" /><ns0:Relationship Id="procurementLink68" Type="http://schemas.openxmlformats.org/officeDocument/2006/relationships/hyperlink" Target="https://www.digikey.com/en/products?keywords=470n" TargetMode="External" /><ns0:Relationship Id="procurementLink69" Type="http://schemas.openxmlformats.org/officeDocument/2006/relationships/hyperlink" Target="https://www.digikey.com/en/products?keywords=47k" TargetMode="External" /><ns0:Relationship Id="procurementLink70" Type="http://schemas.openxmlformats.org/officeDocument/2006/relationships/hyperlink" Target="https://www.digikey.com/en/products?keywords=47k%201%25" TargetMode="External" /><ns0:Relationship Id="procurementLink71" Type="http://schemas.openxmlformats.org/officeDocument/2006/relationships/hyperlink" Target="https://www.digikey.com/en/products?keywords=47u" TargetMode="External" /><ns0:Relationship Id="procurementLink72" Type="http://schemas.openxmlformats.org/officeDocument/2006/relationships/hyperlink" Target="https://www.digikey.com/en/products?keywords=4u7" TargetMode="External" /><ns0:Relationship Id="procurementLink73" Type="http://schemas.openxmlformats.org/officeDocument/2006/relationships/hyperlink" Target="https://www.digikey.com/en/products?keywords=5.1k" TargetMode="External" /><ns0:Relationship Id="procurementLink74" Type="http://schemas.openxmlformats.org/officeDocument/2006/relationships/hyperlink" Target="https://www.digikey.com/en/products?keywords=533980471" TargetMode="External" /><ns0:Relationship Id="procurementLink75" Type="http://schemas.openxmlformats.org/officeDocument/2006/relationships/hyperlink" Target="https://www.digikey.com/en/products?keywords=74LVC1T45DW-7" TargetMode="External" /><ns0:Relationship Id="procurementLink76" Type="http://schemas.openxmlformats.org/officeDocument/2006/relationships/hyperlink" Target="https://www.digikey.com/en/products?keywords=78800-0001" TargetMode="External" /><ns0:Relationship Id="procurementLink77" Type="http://schemas.openxmlformats.org/officeDocument/2006/relationships/hyperlink" Target="https://www.digikey.com/en/products?keywords=820p" TargetMode="External" /><ns0:Relationship Id="procurementLink78" Type="http://schemas.openxmlformats.org/officeDocument/2006/relationships/hyperlink" Target="https://www.digikey.com/en/products?keywords=8k" TargetMode="External" /><ns0:Relationship Id="procurementLink79" Type="http://schemas.openxmlformats.org/officeDocument/2006/relationships/hyperlink" Target="https://www.digikey.com/en/products?keywords=90120-0123" TargetMode="External" /><ns0:Relationship Id="procurementLink80" Type="http://schemas.openxmlformats.org/officeDocument/2006/relationships/hyperlink" Target="https://www.digikey.com/en/products?keywords=93AA66C-I%2FSN" TargetMode="External" /><ns0:Relationship Id="procurementLink81" Type="http://schemas.openxmlformats.org/officeDocument/2006/relationships/hyperlink" Target="https://www.digikey.com/en/products?keywords=AMS1117-1.2" TargetMode="External" /><ns0:Relationship Id="procurementLink82" Type="http://schemas.openxmlformats.org/officeDocument/2006/relationships/hyperlink" Target="https://www.digikey.com/en/products?keywords=AMS1117-3.3" TargetMode="External" /><ns0:Relationship Id="procurementLink83" Type="http://schemas.openxmlformats.org/officeDocument/2006/relationships/hyperlink" Target="https://www.digikey.com/en/products?keywords=AMS1117-3.3" TargetMode="External" /><ns0:Relationship Id="procurementLink84" Type="http://schemas.openxmlformats.org/officeDocument/2006/relationships/hyperlink" Target="https://www.digikey.com/en/products?keywords=AP64501SP-13" TargetMode="External" /><ns0:Relationship Id="procurementLink85" Type="http://schemas.openxmlformats.org/officeDocument/2006/relationships/hyperlink" Target="https://www.digikey.com/en/products?keywords=BM04B-GHS-TBT(LF)(SN)" TargetMode="External" /><ns0:Relationship Id="procurementLink86" Type="http://schemas.openxmlformats.org/officeDocument/2006/relationships/hyperlink" Target="https://www.digikey.com/en/products?keywords=BM06B-GHS-TBT(LF)(SN)" TargetMode="External" /><ns0:Relationship Id="procurementLink87" Type="http://schemas.openxmlformats.org/officeDocument/2006/relationships/hyperlink" Target="https://www.digikey.com/en/products?keywords=BM07B-GHS-TBT%20(LF)(SN)" TargetMode="External" /><ns0:Relationship Id="procurementLink88" Type="http://schemas.openxmlformats.org/officeDocument/2006/relationships/hyperlink" Target="https://www.digikey.com/en/products?keywords=BM09B-GHS-TBT(LF)(SN)(N)" TargetMode="External" /><ns0:Relationship Id="procurementLink89" Type="http://schemas.openxmlformats.org/officeDocument/2006/relationships/hyperlink" Target="https://www.digikey.com/en/products?keywords=BM20B-SRDS-G-TF(LF)(SN)" TargetMode="External" /><ns0:Relationship Id="procurementLink90" Type="http://schemas.openxmlformats.org/officeDocument/2006/relationships/hyperlink" Target="https://www.digikey.com/en/products?keywords=CSS2725FTL250" TargetMode="External" /><ns0:Relationship Id="procurementLink91" Type="http://schemas.openxmlformats.org/officeDocument/2006/relationships/hyperlink" Target="https://www.digikey.com/en/products?keywords=DCJ0202" TargetMode="External" /><ns0:Relationship Id="procurementLink92" Type="http://schemas.openxmlformats.org/officeDocument/2006/relationships/hyperlink" Target="https://www.digikey.com/en/products?keywords=DDR4%20SODIMM%20260P" TargetMode="External" /><ns0:Relationship Id="procurementLink93" Type="http://schemas.openxmlformats.org/officeDocument/2006/relationships/hyperlink" Target="https://www.digikey.com/en/products?keywords=DEA162500LT-1217A1" TargetMode="External" /><ns0:Relationship Id="procurementLink94" Type="http://schemas.openxmlformats.org/officeDocument/2006/relationships/hyperlink" Target="https://www.digikey.com/en/products?keywords=FNR6028S3R3NT" TargetMode="External" /><ns0:Relationship Id="procurementLink95" Type="http://schemas.openxmlformats.org/officeDocument/2006/relationships/hyperlink" Target="https://www.digikey.com/en/products?keywords=GREEN" TargetMode="External" /><ns0:Relationship Id="procurementLink96" Type="http://schemas.openxmlformats.org/officeDocument/2006/relationships/hyperlink" Target="https://www.digikey.com/en/products?keywords=INA228AIDGSR" TargetMode="External" /><ns0:Relationship Id="procurementLink97" Type="http://schemas.openxmlformats.org/officeDocument/2006/relationships/hyperlink" Target="https://www.digikey.com/en/products?keywords=LM73100RPWR" TargetMode="External" /><ns0:Relationship Id="procurementLink98" Type="http://schemas.openxmlformats.org/officeDocument/2006/relationships/hyperlink" Target="https://www.digikey.com/en/products?keywords=LQW15AN2N5B00D" TargetMode="External" /><ns0:Relationship Id="procurementLink99" Type="http://schemas.openxmlformats.org/officeDocument/2006/relationships/hyperlink" Target="https://www.digikey.com/en/products?keywords=LQW15AN3N0B80D" TargetMode="External" /><ns0:Relationship Id="procurementLink100" Type="http://schemas.openxmlformats.org/officeDocument/2006/relationships/hyperlink" Target="https://www.digikey.com/en/products?keywords=MAX3051EKA%2BT" TargetMode="External" /><ns0:Relationship Id="procurementLink101" Type="http://schemas.openxmlformats.org/officeDocument/2006/relationships/hyperlink" Target="https://www.digikey.com/en/products?keywords=RED" TargetMode="External" /><ns0:Relationship Id="procurementLink102" Type="http://schemas.openxmlformats.org/officeDocument/2006/relationships/hyperlink" Target="https://www.digikey.com/en/products?keywords=STM32F030F4P6TR" TargetMode="External" /><ns0:Relationship Id="procurementLink103" Type="http://schemas.openxmlformats.org/officeDocument/2006/relationships/hyperlink" Target="https://www.digikey.com/en/products?keywords=TC2030-NL-FP" TargetMode="External" /><ns0:Relationship Id="procurementLink104" Type="http://schemas.openxmlformats.org/officeDocument/2006/relationships/hyperlink" Target="https://www.digikey.com/en/products?keywords=TC5050RGBF08-3CJH-AF53A" TargetMode="External" /><ns0:Relationship Id="procurementLink105" Type="http://schemas.openxmlformats.org/officeDocument/2006/relationships/hyperlink" Target="https://www.digikey.com/en/products?keywords=TMUX1309PWR" TargetMode="External" /><ns0:Relationship Id="procurementLink106" Type="http://schemas.openxmlformats.org/officeDocument/2006/relationships/hyperlink" Target="https://www.digikey.com/en/products?keywords=TSX-3225%2024.0000MF15X-AC" TargetMode="External" /><ns0:Relationship Id="procurementLink107" Type="http://schemas.openxmlformats.org/officeDocument/2006/relationships/hyperlink" Target="https://www.digikey.com/en/products?keywords=TSX-3225%2024.0000MF15X-AC" TargetMode="External" /><ns0:Relationship Id="procurementLink108" Type="http://schemas.openxmlformats.org/officeDocument/2006/relationships/hyperlink" Target="https://www.digikey.com/en/products?keywords=TSX-3225%2024.0000MF15X-AC" TargetMode="External" /><ns0:Relationship Id="procurementLink109" Type="http://schemas.openxmlformats.org/officeDocument/2006/relationships/hyperlink" Target="https://www.digikey.com/en/products?keywords=TSX-3225%2024.0000MF15X-AC" TargetMode="External" /><ns0:Relationship Id="procurementLink110" Type="http://schemas.openxmlformats.org/officeDocument/2006/relationships/hyperlink" Target="https://www.digikey.com/en/products?keywords=U.FL-R-SMT-1(80)" TargetMode="External" /><ns0:Relationship Id="procurementLink111" Type="http://schemas.openxmlformats.org/officeDocument/2006/relationships/hyperlink" Target="https://www.digikey.com/en/products?keywords=XT60PW-F" TargetMode="External" /><ns0:Relationship Id="procurementLink112" Type="http://schemas.openxmlformats.org/officeDocument/2006/relationships/hyperlink" Target="https://www.digikey.com/en/products?keywords=XT60PW-M" TargetMode="External" /></ns0:Relationships>
</file>

<file path=xl/worksheets/_rels/sheet5.xml.rels><?xml version='1.0' encoding='utf-8'?>
<ns0:Relationships xmlns:ns0="http://schemas.openxmlformats.org/package/2006/relationships"><ns0:Relationship Id="procurementLink0" Type="http://schemas.openxmlformats.org/officeDocument/2006/relationships/hyperlink" Target="https://www.digikey.com/en/products/detail/stmicroelectronics/STM32H743IIK6/7915905" TargetMode="External" /><ns0:Relationship Id="procurementLink1" Type="http://schemas.openxmlformats.org/officeDocument/2006/relationships/hyperlink" Target="https://www.digikey.com/en/products/detail/stmicroelectronics/STM32F446RET6/5175962" TargetMode="External" /><ns0:Relationship Id="procurementLink2" Type="http://schemas.openxmlformats.org/officeDocument/2006/relationships/hyperlink" Target="https://www.digikey.com/en/products/detail/bosch-sensortec/BMI088/8634936" TargetMode="External" /><ns0:Relationship Id="procurementLink3" Type="http://schemas.openxmlformats.org/officeDocument/2006/relationships/hyperlink" Target="https://www.digikey.com/en/products/detail/tdk-invensense/ICM-42688-P/10824934" TargetMode="External" /><ns0:Relationship Id="procurementLink4" Type="http://schemas.openxmlformats.org/officeDocument/2006/relationships/hyperlink" Target="https://www.digikey.com/en/products/detail/stmicroelectronics/LPS22HBTR/5799910" TargetMode="External" /><ns0:Relationship Id="procurementLink5" Type="http://schemas.openxmlformats.org/officeDocument/2006/relationships/hyperlink" Target="https://www.digikey.com/en/products/detail/stmicroelectronics/LIS2MDLTR/7565512" TargetMode="External" /><ns0:Relationship Id="procurementLink6" Type="http://schemas.openxmlformats.org/officeDocument/2006/relationships/hyperlink" Target="https://www.digikey.com/en/products/detail/stmicroelectronics/TESEO-LIV3R/10222210" TargetMode="External" /><ns0:Relationship Id="procurementLink7" Type="http://schemas.openxmlformats.org/officeDocument/2006/relationships/hyperlink" Target="https://www.st.com/en/positioning/teseo-liv3r.html" TargetMode="External" /><ns0:Relationship Id="procurementLink8" Type="http://schemas.openxmlformats.org/officeDocument/2006/relationships/hyperlink" Target="https://www.digikey.com/en/products/detail/tdk/HHM1595A1/1641775" TargetMode="External" /><ns0:Relationship Id="procurementLink9" Type="http://schemas.openxmlformats.org/officeDocument/2006/relationships/hyperlink" Target="https://product.tdk.com/en/search/rf/rf/balun/info?part_no=HHM1595A1" TargetMode="External" /><ns0:Relationship Id="procurementLink10" Type="http://schemas.openxmlformats.org/officeDocument/2006/relationships/hyperlink" Target="https://store.qorvo.com/products/detail/dw1000itr13-qorvo/681945/" TargetMode="External" /><ns0:Relationship Id="procurementLink11" Type="http://schemas.openxmlformats.org/officeDocument/2006/relationships/hyperlink" Target="https://www.qorvo.com/support/subscription-center/product-longevity-program" TargetMode="External" /><ns0:Relationship Id="procurementLink12" Type="http://schemas.openxmlformats.org/officeDocument/2006/relationships/hyperlink" Target="https://www.digikey.com/en/products/detail/semtech-corporation/SX1280IMLTRT/7203797" TargetMode="External" /><ns0:Relationship Id="procurementLink13" Type="http://schemas.openxmlformats.org/officeDocument/2006/relationships/hyperlink" Target="https://www.digikey.com/en/products/detail/stmicroelectronics/ST33HTPH2X32AHE4/18085561" TargetMode="External" /><ns0:Relationship Id="procurementLink14" Type="http://schemas.openxmlformats.org/officeDocument/2006/relationships/hyperlink" Target="https://www.digikey.com/en/products/detail/microchip-technology/LAN7800-Y9X/6593015" TargetMode="External" /><ns0:Relationship Id="procurementLink15" Type="http://schemas.openxmlformats.org/officeDocument/2006/relationships/hyperlink" Target="https://www.digikey.com/en/products/detail/microchip-technology/USB5744-I-2G/5323586" TargetMode="External" /><ns0:Relationship Id="procurementLink16" Type="http://schemas.openxmlformats.org/officeDocument/2006/relationships/hyperlink" Target="https://www.digikey.com/en/products/detail/infineon-technologies/FM25V01A-GTR/5210534" TargetMode="External" /><ns0:Relationship Id="procurementLink17" Type="http://schemas.openxmlformats.org/officeDocument/2006/relationships/hyperlink" Target="https://www.digikey.com/en/products/detail/skyworks-solutions-inc/RFX2401C/6172935" TargetMode="External" /><ns0:Relationship Id="procurementLink18" Type="http://schemas.openxmlformats.org/officeDocument/2006/relationships/hyperlink" Target="https://www.digikey.com/en/products/detail/skyworks-solutions-inc/SKY13585-679LF/6172968" TargetMode="External" /><ns0:Relationship Id="procurementLink19" Type="http://schemas.openxmlformats.org/officeDocument/2006/relationships/hyperlink" Target="https://www.digikey.com/en/products/detail/texas-instruments/TXB0104RGYR/1629103" TargetMode="External" /><ns0:Relationship Id="procurementLink20" Type="http://schemas.openxmlformats.org/officeDocument/2006/relationships/hyperlink" Target="https://www.digikey.com/en/products/detail/texas-instruments/THVD1551DGK/8286292" TargetMode="External" /></ns0:Relationships>
</file>

<file path=xl/worksheets/_rels/sheet6.xml.rels><?xml version='1.0' encoding='utf-8'?>
<ns0:Relationships xmlns:ns0="http://schemas.openxmlformats.org/package/2006/relationships"><ns0:Relationship Id="procurementLink0" Type="http://schemas.openxmlformats.org/officeDocument/2006/relationships/hyperlink" Target="https://product.tdk.com/en/search/rf/rf/balun/info?part_no=HHM1595A1" TargetMode="External" /><ns0:Relationship Id="procurementLink1" Type="http://schemas.openxmlformats.org/officeDocument/2006/relationships/hyperlink" Target="https://store.qorvo.com/products/detail/dw1000itr13-qorvo/681945/" TargetMode="External" /><ns0:Relationship Id="procurementLink2" Type="http://schemas.openxmlformats.org/officeDocument/2006/relationships/hyperlink" Target="https://www.digikey.com/en/products/detail/bosch-sensortec/BMI088/8634936" TargetMode="External" /><ns0:Relationship Id="procurementLink3" Type="http://schemas.openxmlformats.org/officeDocument/2006/relationships/hyperlink" Target="https://www.digikey.com/en/products/detail/infineon-technologies/FM25V01A-GTR/5210534" TargetMode="External" /><ns0:Relationship Id="procurementLink4" Type="http://schemas.openxmlformats.org/officeDocument/2006/relationships/hyperlink" Target="https://www.digikey.com/en/products/detail/microchip-technology/LAN7800-Y9X/6593015" TargetMode="External" /><ns0:Relationship Id="procurementLink5" Type="http://schemas.openxmlformats.org/officeDocument/2006/relationships/hyperlink" Target="https://www.digikey.com/en/products/detail/microchip-technology/USB5744-I-2G/5323586" TargetMode="External" /><ns0:Relationship Id="procurementLink6" Type="http://schemas.openxmlformats.org/officeDocument/2006/relationships/hyperlink" Target="https://www.digikey.com/en/products/detail/semtech-corporation/SX1280IMLTRT/7203797" TargetMode="External" /><ns0:Relationship Id="procurementLink7" Type="http://schemas.openxmlformats.org/officeDocument/2006/relationships/hyperlink" Target="https://www.digikey.com/en/products/detail/skyworks-solutions-inc/RFX2401C/6172935" TargetMode="External" /><ns0:Relationship Id="procurementLink8" Type="http://schemas.openxmlformats.org/officeDocument/2006/relationships/hyperlink" Target="https://www.digikey.com/en/products/detail/skyworks-solutions-inc/SKY13585-679LF/6172968" TargetMode="External" /><ns0:Relationship Id="procurementLink9" Type="http://schemas.openxmlformats.org/officeDocument/2006/relationships/hyperlink" Target="https://www.digikey.com/en/products/detail/stmicroelectronics/LIS2MDLTR/7565512" TargetMode="External" /><ns0:Relationship Id="procurementLink10" Type="http://schemas.openxmlformats.org/officeDocument/2006/relationships/hyperlink" Target="https://www.digikey.com/en/products/detail/stmicroelectronics/LPS22HBTR/5799910" TargetMode="External" /><ns0:Relationship Id="procurementLink11" Type="http://schemas.openxmlformats.org/officeDocument/2006/relationships/hyperlink" Target="https://www.digikey.com/en/products/detail/stmicroelectronics/ST33HTPH2X32AHE4/18085561" TargetMode="External" /><ns0:Relationship Id="procurementLink12" Type="http://schemas.openxmlformats.org/officeDocument/2006/relationships/hyperlink" Target="https://www.digikey.com/en/products/detail/stmicroelectronics/STM32F446RET6/5175962" TargetMode="External" /><ns0:Relationship Id="procurementLink13" Type="http://schemas.openxmlformats.org/officeDocument/2006/relationships/hyperlink" Target="https://www.digikey.com/en/products/detail/stmicroelectronics/STM32H743IIK6/7915905" TargetMode="External" /><ns0:Relationship Id="procurementLink14" Type="http://schemas.openxmlformats.org/officeDocument/2006/relationships/hyperlink" Target="https://www.digikey.com/en/products/detail/stmicroelectronics/TESEO-LIV3R/10222210" TargetMode="External" /><ns0:Relationship Id="procurementLink15" Type="http://schemas.openxmlformats.org/officeDocument/2006/relationships/hyperlink" Target="https://www.digikey.com/en/products/detail/tdk-invensense/ICM-42688-P/10824934" TargetMode="External" /><ns0:Relationship Id="procurementLink16" Type="http://schemas.openxmlformats.org/officeDocument/2006/relationships/hyperlink" Target="https://www.digikey.com/en/products/detail/tdk/HHM1595A1/1641775" TargetMode="External" /><ns0:Relationship Id="procurementLink17" Type="http://schemas.openxmlformats.org/officeDocument/2006/relationships/hyperlink" Target="https://www.digikey.com/en/products/detail/texas-instruments/THVD1551DGK/8286292" TargetMode="External" /><ns0:Relationship Id="procurementLink18" Type="http://schemas.openxmlformats.org/officeDocument/2006/relationships/hyperlink" Target="https://www.digikey.com/en/products/detail/texas-instruments/TXB0104RGYR/1629103" TargetMode="External" /><ns0:Relationship Id="procurementLink19" Type="http://schemas.openxmlformats.org/officeDocument/2006/relationships/hyperlink" Target="https://www.digikey.com/en/products?keywords=0%20ohm%20jumper%200402%20EIA" TargetMode="External" /><ns0:Relationship Id="procurementLink20" Type="http://schemas.openxmlformats.org/officeDocument/2006/relationships/hyperlink" Target="https://www.digikey.com/en/products?keywords=0%20ohm%20jumper%200603%20EIA" TargetMode="External" /><ns0:Relationship Id="procurementLink21" Type="http://schemas.openxmlformats.org/officeDocument/2006/relationships/hyperlink" Target="https://www.digikey.com/en/products?keywords=0p3" TargetMode="External" /><ns0:Relationship Id="procurementLink22" Type="http://schemas.openxmlformats.org/officeDocument/2006/relationships/hyperlink" Target="https://www.digikey.com/en/products?keywords=0p5%20%C5%BD%20%2B%2F-%20.05" TargetMode="External" /><ns0:Relationship Id="procurementLink23" Type="http://schemas.openxmlformats.org/officeDocument/2006/relationships/hyperlink" Target="https://www.digikey.com/en/products?keywords=0p8%20.1%25" TargetMode="External" /><ns0:Relationship Id="procurementLink24" Type="http://schemas.openxmlformats.org/officeDocument/2006/relationships/hyperlink" Target="https://www.digikey.com/en/products?keywords=1%20nF%20C0G%2050%20V%205%25%200603%20EIA" TargetMode="External" /><ns0:Relationship Id="procurementLink25" Type="http://schemas.openxmlformats.org/officeDocument/2006/relationships/hyperlink" Target="https://www.digikey.com/en/products?keywords=1%20nF%20X7R%2050%20V%2010%25%200603%20EIA" TargetMode="External" /><ns0:Relationship Id="procurementLink26" Type="http://schemas.openxmlformats.org/officeDocument/2006/relationships/hyperlink" Target="https://www.digikey.com/en/products?keywords=1%20uF%20X7R%2016%20V%2010%25%200603%20EIA" TargetMode="External" /><ns0:Relationship Id="procurementLink27" Type="http://schemas.openxmlformats.org/officeDocument/2006/relationships/hyperlink" Target="https://www.digikey.com/en/products?keywords=1-1734248-5" TargetMode="External" /><ns0:Relationship Id="procurementLink28" Type="http://schemas.openxmlformats.org/officeDocument/2006/relationships/hyperlink" Target="https://www.digikey.com/en/products?keywords=1-2199230-5" TargetMode="External" /><ns0:Relationship Id="procurementLink29" Type="http://schemas.openxmlformats.org/officeDocument/2006/relationships/hyperlink" Target="https://www.digikey.com/en/products?keywords=10" TargetMode="External" /><ns0:Relationship Id="procurementLink30" Type="http://schemas.openxmlformats.org/officeDocument/2006/relationships/hyperlink" Target="https://www.digikey.com/en/products?keywords=10%20nF%20X7R%2050%20V%2010%25%200603%20EIA" TargetMode="External" /><ns0:Relationship Id="procurementLink31" Type="http://schemas.openxmlformats.org/officeDocument/2006/relationships/hyperlink" Target="https://www.digikey.com/en/products?keywords=10%20ohm%2C%201%25%2C%20%3E%3D0.1%20W%200603%20EIA" TargetMode="External" /><ns0:Relationship Id="procurementLink32" Type="http://schemas.openxmlformats.org/officeDocument/2006/relationships/hyperlink" Target="https://www.digikey.com/en/products?keywords=10%20uF%20X7R%2016%20V%2010%25%200805%20EIA" TargetMode="External" /><ns0:Relationship Id="procurementLink33" Type="http://schemas.openxmlformats.org/officeDocument/2006/relationships/hyperlink" Target="https://www.digikey.com/en/products?keywords=100" TargetMode="External" /><ns0:Relationship Id="procurementLink34" Type="http://schemas.openxmlformats.org/officeDocument/2006/relationships/hyperlink" Target="https://www.digikey.com/en/products?keywords=100%20nF%20X7R%2016%20V%2010%25%200402%20EIA" TargetMode="External" /><ns0:Relationship Id="procurementLink35" Type="http://schemas.openxmlformats.org/officeDocument/2006/relationships/hyperlink" Target="https://www.digikey.com/en/products?keywords=100%20nF%20X7R%2025%20V%2010%25%200603%20EIA" TargetMode="External" /><ns0:Relationship Id="procurementLink36" Type="http://schemas.openxmlformats.org/officeDocument/2006/relationships/hyperlink" Target="https://www.digikey.com/en/products?keywords=100%20ohm%2C%201%25%2C%20%3E%3D0.1%20W%200603%20EIA" TargetMode="External" /><ns0:Relationship Id="procurementLink37" Type="http://schemas.openxmlformats.org/officeDocument/2006/relationships/hyperlink" Target="https://www.digikey.com/en/products?keywords=100%20pF%20C0G%2050%20V%205%25%200603%20EIA" TargetMode="External" /><ns0:Relationship Id="procurementLink38" Type="http://schemas.openxmlformats.org/officeDocument/2006/relationships/hyperlink" Target="https://www.digikey.com/en/products?keywords=100k" TargetMode="External" /><ns0:Relationship Id="procurementLink39" Type="http://schemas.openxmlformats.org/officeDocument/2006/relationships/hyperlink" Target="https://www.digikey.com/en/products?keywords=100k%20ohm%2C%201%25%2C%20%3E%3D0.0625%20W%200402%20EIA" TargetMode="External" /><ns0:Relationship Id="procurementLink40" Type="http://schemas.openxmlformats.org/officeDocument/2006/relationships/hyperlink" Target="https://www.digikey.com/en/products?keywords=100k%20ohm%2C%201%25%2C%20%3E%3D0.1%20W%200603%20EIA" TargetMode="External" /><ns0:Relationship Id="procurementLink41" Type="http://schemas.openxmlformats.org/officeDocument/2006/relationships/hyperlink" Target="https://www.digikey.com/en/products?keywords=100n" TargetMode="External" /><ns0:Relationship Id="procurementLink42" Type="http://schemas.openxmlformats.org/officeDocument/2006/relationships/hyperlink" Target="https://www.digikey.com/en/products?keywords=100p" TargetMode="External" /><ns0:Relationship Id="procurementLink43" Type="http://schemas.openxmlformats.org/officeDocument/2006/relationships/hyperlink" Target="https://www.digikey.com/en/products?keywords=100u" TargetMode="External" /><ns0:Relationship Id="procurementLink44" Type="http://schemas.openxmlformats.org/officeDocument/2006/relationships/hyperlink" Target="https://www.digikey.com/en/products?keywords=1054500101" TargetMode="External" /><ns0:Relationship Id="procurementLink45" Type="http://schemas.openxmlformats.org/officeDocument/2006/relationships/hyperlink" Target="https://www.digikey.com/en/products?keywords=10k" TargetMode="External" /><ns0:Relationship Id="procurementLink46" Type="http://schemas.openxmlformats.org/officeDocument/2006/relationships/hyperlink" Target="https://www.digikey.com/en/products?keywords=10k%20ohm%2C%201%25%2C%20%3E%3D0.0625%20W%200402%20EIA" TargetMode="External" /><ns0:Relationship Id="procurementLink47" Type="http://schemas.openxmlformats.org/officeDocument/2006/relationships/hyperlink" Target="https://www.digikey.com/en/products?keywords=10k%20ohm%2C%201%25%2C%20%3E%3D0.1%20W%200603%20EIA" TargetMode="External" /><ns0:Relationship Id="procurementLink48" Type="http://schemas.openxmlformats.org/officeDocument/2006/relationships/hyperlink" Target="https://www.digikey.com/en/products?keywords=10n" TargetMode="External" /><ns0:Relationship Id="procurementLink49" Type="http://schemas.openxmlformats.org/officeDocument/2006/relationships/hyperlink" Target="https://www.digikey.com/en/products?keywords=10p" TargetMode="External" /><ns0:Relationship Id="procurementLink50" Type="http://schemas.openxmlformats.org/officeDocument/2006/relationships/hyperlink" Target="https://www.digikey.com/en/products?keywords=10u" TargetMode="External" /><ns0:Relationship Id="procurementLink51" Type="http://schemas.openxmlformats.org/officeDocument/2006/relationships/hyperlink" Target="https://www.digikey.com/en/products?keywords=11k" TargetMode="External" /><ns0:Relationship Id="procurementLink52" Type="http://schemas.openxmlformats.org/officeDocument/2006/relationships/hyperlink" Target="https://www.digikey.com/en/products?keywords=120" TargetMode="External" /><ns0:Relationship Id="procurementLink53" Type="http://schemas.openxmlformats.org/officeDocument/2006/relationships/hyperlink" Target="https://www.digikey.com/en/products?keywords=12k" TargetMode="External" /><ns0:Relationship Id="procurementLink54" Type="http://schemas.openxmlformats.org/officeDocument/2006/relationships/hyperlink" Target="https://www.digikey.com/en/products?keywords=12k%201%25" TargetMode="External" /><ns0:Relationship Id="procurementLink55" Type="http://schemas.openxmlformats.org/officeDocument/2006/relationships/hyperlink" Target="https://www.digikey.com/en/products?keywords=12p" TargetMode="External" /><ns0:Relationship Id="procurementLink56" Type="http://schemas.openxmlformats.org/officeDocument/2006/relationships/hyperlink" Target="https://www.digikey.com/en/products?keywords=15k%201%25" TargetMode="External" /><ns0:Relationship Id="procurementLink57" Type="http://schemas.openxmlformats.org/officeDocument/2006/relationships/hyperlink" Target="https://www.digikey.com/en/products?keywords=16k" TargetMode="External" /><ns0:Relationship Id="procurementLink58" Type="http://schemas.openxmlformats.org/officeDocument/2006/relationships/hyperlink" Target="https://www.digikey.com/en/products?keywords=16p" TargetMode="External" /><ns0:Relationship Id="procurementLink59" Type="http://schemas.openxmlformats.org/officeDocument/2006/relationships/hyperlink" Target="https://www.digikey.com/en/products?keywords=18p" TargetMode="External" /><ns0:Relationship Id="procurementLink60" Type="http://schemas.openxmlformats.org/officeDocument/2006/relationships/hyperlink" Target="https://www.digikey.com/en/products?keywords=1M%20ohm%2C%201%25%2C%20%3E%3D0.1%20W%200603%20EIA" TargetMode="External" /><ns0:Relationship Id="procurementLink61" Type="http://schemas.openxmlformats.org/officeDocument/2006/relationships/hyperlink" Target="https://www.digikey.com/en/products?keywords=1k" TargetMode="External" /><ns0:Relationship Id="procurementLink62" Type="http://schemas.openxmlformats.org/officeDocument/2006/relationships/hyperlink" Target="https://www.digikey.com/en/products?keywords=1k%20ohm%2C%201%25%2C%20%3E%3D0.0625%20W%200402%20EIA" TargetMode="External" /><ns0:Relationship Id="procurementLink63" Type="http://schemas.openxmlformats.org/officeDocument/2006/relationships/hyperlink" Target="https://www.digikey.com/en/products?keywords=1k%20ohm%2C%201%25%2C%20%3E%3D0.1%20W%200603%20EIA" TargetMode="External" /><ns0:Relationship Id="procurementLink64" Type="http://schemas.openxmlformats.org/officeDocument/2006/relationships/hyperlink" Target="https://www.digikey.com/en/products?keywords=1n" TargetMode="External" /><ns0:Relationship Id="procurementLink65" Type="http://schemas.openxmlformats.org/officeDocument/2006/relationships/hyperlink" Target="https://www.digikey.com/en/products?keywords=1n2" TargetMode="External" /><ns0:Relationship Id="procurementLink66" Type="http://schemas.openxmlformats.org/officeDocument/2006/relationships/hyperlink" Target="https://www.digikey.com/en/products?keywords=1p2" TargetMode="External" /><ns0:Relationship Id="procurementLink67" Type="http://schemas.openxmlformats.org/officeDocument/2006/relationships/hyperlink" Target="https://www.digikey.com/en/products?keywords=1p2%20.1%25" TargetMode="External" /><ns0:Relationship Id="procurementLink68" Type="http://schemas.openxmlformats.org/officeDocument/2006/relationships/hyperlink" Target="https://www.digikey.com/en/products?keywords=1u" TargetMode="External" /><ns0:Relationship Id="procurementLink69" Type="http://schemas.openxmlformats.org/officeDocument/2006/relationships/hyperlink" Target="https://www.digikey.com/en/products?keywords=2.2k%20ohm%2C%201%25%2C%20%3E%3D0.1%20W%200603%20EIA" TargetMode="External" /><ns0:Relationship Id="procurementLink70" Type="http://schemas.openxmlformats.org/officeDocument/2006/relationships/hyperlink" Target="https://www.digikey.com/en/products?keywords=2.54%20mm%20female%20header%20Select%20footprint" TargetMode="External" /><ns0:Relationship Id="procurementLink71" Type="http://schemas.openxmlformats.org/officeDocument/2006/relationships/hyperlink" Target="https://www.digikey.com/en/products?keywords=2.54%20mm%20jumper%20shunt%20Select%20footprint" TargetMode="External" /><ns0:Relationship Id="procurementLink72" Type="http://schemas.openxmlformats.org/officeDocument/2006/relationships/hyperlink" Target="https://www.digikey.com/en/products?keywords=2.54%20mm%20male%20breakaway%20header%20Select%20footprint" TargetMode="External" /><ns0:Relationship Id="procurementLink73" Type="http://schemas.openxmlformats.org/officeDocument/2006/relationships/hyperlink" Target="https://www.digikey.com/en/products?keywords=200" TargetMode="External" /><ns0:Relationship Id="procurementLink74" Type="http://schemas.openxmlformats.org/officeDocument/2006/relationships/hyperlink" Target="https://www.digikey.com/en/products?keywords=2041119-1" TargetMode="External" /><ns0:Relationship Id="procurementLink75" Type="http://schemas.openxmlformats.org/officeDocument/2006/relationships/hyperlink" Target="https://www.digikey.com/en/products?keywords=20k" TargetMode="External" /><ns0:Relationship Id="procurementLink76" Type="http://schemas.openxmlformats.org/officeDocument/2006/relationships/hyperlink" Target="https://www.digikey.com/en/products?keywords=2199230-3" TargetMode="External" /><ns0:Relationship Id="procurementLink77" Type="http://schemas.openxmlformats.org/officeDocument/2006/relationships/hyperlink" Target="https://www.digikey.com/en/products?keywords=22%20ohm%2C%201%25%2C%20%3E%3D0.1%20W%200603%20EIA" TargetMode="External" /><ns0:Relationship Id="procurementLink78" Type="http://schemas.openxmlformats.org/officeDocument/2006/relationships/hyperlink" Target="https://www.digikey.com/en/products?keywords=22%20pF%20C0G%2050%20V%205%25%200603%20EIA" TargetMode="External" /><ns0:Relationship Id="procurementLink79" Type="http://schemas.openxmlformats.org/officeDocument/2006/relationships/hyperlink" Target="https://www.digikey.com/en/products?keywords=220%20ohm%2C%201%25%2C%20%3E%3D0.1%20W%200603%20EIA" TargetMode="External" /><ns0:Relationship Id="procurementLink80" Type="http://schemas.openxmlformats.org/officeDocument/2006/relationships/hyperlink" Target="https://www.digikey.com/en/products?keywords=220n" TargetMode="External" /><ns0:Relationship Id="procurementLink81" Type="http://schemas.openxmlformats.org/officeDocument/2006/relationships/hyperlink" Target="https://www.digikey.com/en/products?keywords=220p" TargetMode="External" /><ns0:Relationship Id="procurementLink82" Type="http://schemas.openxmlformats.org/officeDocument/2006/relationships/hyperlink" Target="https://www.digikey.com/en/products?keywords=22k%20ohm%2C%201%25%2C%20%3E%3D0.1%20W%200603%20EIA" TargetMode="External" /><ns0:Relationship Id="procurementLink83" Type="http://schemas.openxmlformats.org/officeDocument/2006/relationships/hyperlink" Target="https://www.digikey.com/en/products?keywords=22u" TargetMode="External" /><ns0:Relationship Id="procurementLink84" Type="http://schemas.openxmlformats.org/officeDocument/2006/relationships/hyperlink" Target="https://www.digikey.com/en/products?keywords=2337992-8" TargetMode="External" /><ns0:Relationship Id="procurementLink85" Type="http://schemas.openxmlformats.org/officeDocument/2006/relationships/hyperlink" Target="https://www.digikey.com/en/products?keywords=24k" TargetMode="External" /><ns0:Relationship Id="procurementLink86" Type="http://schemas.openxmlformats.org/officeDocument/2006/relationships/hyperlink" Target="https://www.digikey.com/en/products?keywords=270" TargetMode="External" /><ns0:Relationship Id="procurementLink87" Type="http://schemas.openxmlformats.org/officeDocument/2006/relationships/hyperlink" Target="https://www.digikey.com/en/products?keywords=27p" TargetMode="External" /><ns0:Relationship Id="procurementLink88" Type="http://schemas.openxmlformats.org/officeDocument/2006/relationships/hyperlink" Target="https://www.digikey.com/en/products?keywords=2k" TargetMode="External" /><ns0:Relationship Id="procurementLink89" Type="http://schemas.openxmlformats.org/officeDocument/2006/relationships/hyperlink" Target="https://www.digikey.com/en/products?keywords=2k2" TargetMode="External" /><ns0:Relationship Id="procurementLink90" Type="http://schemas.openxmlformats.org/officeDocument/2006/relationships/hyperlink" Target="https://www.digikey.com/en/products?keywords=2u2" TargetMode="External" /><ns0:Relationship Id="procurementLink91" Type="http://schemas.openxmlformats.org/officeDocument/2006/relationships/hyperlink" Target="https://www.digikey.com/en/products?keywords=3.3k%20ohm%2C%201%25%2C%20%3E%3D0.1%20W%200603%20EIA" TargetMode="External" /><ns0:Relationship Id="procurementLink92" Type="http://schemas.openxmlformats.org/officeDocument/2006/relationships/hyperlink" Target="https://www.digikey.com/en/products?keywords=30k" TargetMode="External" /><ns0:Relationship Id="procurementLink93" Type="http://schemas.openxmlformats.org/officeDocument/2006/relationships/hyperlink" Target="https://www.digikey.com/en/products?keywords=33%20ohm%2C%201%25%2C%20%3E%3D0.1%20W%200603%20EIA" TargetMode="External" /><ns0:Relationship Id="procurementLink94" Type="http://schemas.openxmlformats.org/officeDocument/2006/relationships/hyperlink" Target="https://www.digikey.com/en/products?keywords=330%20ohm%2C%201%25%2C%20%3E%3D0.1%20W%200603%20EIA" TargetMode="External" /><ns0:Relationship Id="procurementLink95" Type="http://schemas.openxmlformats.org/officeDocument/2006/relationships/hyperlink" Target="https://www.digikey.com/en/products?keywords=330k" TargetMode="External" /><ns0:Relationship Id="procurementLink96" Type="http://schemas.openxmlformats.org/officeDocument/2006/relationships/hyperlink" Target="https://www.digikey.com/en/products?keywords=330p" TargetMode="External" /><ns0:Relationship Id="procurementLink97" Type="http://schemas.openxmlformats.org/officeDocument/2006/relationships/hyperlink" Target="https://www.digikey.com/en/products?keywords=36103255S" TargetMode="External" /><ns0:Relationship Id="procurementLink98" Type="http://schemas.openxmlformats.org/officeDocument/2006/relationships/hyperlink" Target="https://www.digikey.com/en/products?keywords=4.7%20uF%20X7R%2016%20V%2010%25%200805%20EIA" TargetMode="External" /><ns0:Relationship Id="procurementLink99" Type="http://schemas.openxmlformats.org/officeDocument/2006/relationships/hyperlink" Target="https://www.digikey.com/en/products?keywords=4.7k%20ohm%2C%201%25%2C%20%3E%3D0.0625%20W%200402%20EIA" TargetMode="External" /><ns0:Relationship Id="procurementLink100" Type="http://schemas.openxmlformats.org/officeDocument/2006/relationships/hyperlink" Target="https://www.digikey.com/en/products?keywords=4.7k%20ohm%2C%201%25%2C%20%3E%3D0.1%20W%200603%20EIA" TargetMode="External" /><ns0:Relationship Id="procurementLink101" Type="http://schemas.openxmlformats.org/officeDocument/2006/relationships/hyperlink" Target="https://www.digikey.com/en/products?keywords=47%20ohm%2C%201%25%2C%20%3E%3D0.1%20W%200603%20EIA" TargetMode="External" /><ns0:Relationship Id="procurementLink102" Type="http://schemas.openxmlformats.org/officeDocument/2006/relationships/hyperlink" Target="https://www.digikey.com/en/products?keywords=47%20pF%20C0G%2050%20V%205%25%200603%20EIA" TargetMode="External" /><ns0:Relationship Id="procurementLink103" Type="http://schemas.openxmlformats.org/officeDocument/2006/relationships/hyperlink" Target="https://www.digikey.com/en/products?keywords=470%20ohm%2C%201%25%2C%20%3E%3D0.1%20W%200603%20EIA" TargetMode="External" /><ns0:Relationship Id="procurementLink104" Type="http://schemas.openxmlformats.org/officeDocument/2006/relationships/hyperlink" Target="https://www.digikey.com/en/products?keywords=470k" TargetMode="External" /><ns0:Relationship Id="procurementLink105" Type="http://schemas.openxmlformats.org/officeDocument/2006/relationships/hyperlink" Target="https://www.digikey.com/en/products?keywords=470n" TargetMode="External" /><ns0:Relationship Id="procurementLink106" Type="http://schemas.openxmlformats.org/officeDocument/2006/relationships/hyperlink" Target="https://www.digikey.com/en/products?keywords=47k" TargetMode="External" /><ns0:Relationship Id="procurementLink107" Type="http://schemas.openxmlformats.org/officeDocument/2006/relationships/hyperlink" Target="https://www.digikey.com/en/products?keywords=47k%201%25" TargetMode="External" /><ns0:Relationship Id="procurementLink108" Type="http://schemas.openxmlformats.org/officeDocument/2006/relationships/hyperlink" Target="https://www.digikey.com/en/products?keywords=47k%20ohm%2C%201%25%2C%20%3E%3D0.1%20W%200603%20EIA" TargetMode="External" /><ns0:Relationship Id="procurementLink109" Type="http://schemas.openxmlformats.org/officeDocument/2006/relationships/hyperlink" Target="https://www.digikey.com/en/products?keywords=47u" TargetMode="External" /><ns0:Relationship Id="procurementLink110" Type="http://schemas.openxmlformats.org/officeDocument/2006/relationships/hyperlink" Target="https://www.digikey.com/en/products?keywords=49.9%20ohm%2C%201%25%2C%20%3E%3D0.1%20W%200603%20EIA" TargetMode="External" /><ns0:Relationship Id="procurementLink111" Type="http://schemas.openxmlformats.org/officeDocument/2006/relationships/hyperlink" Target="https://www.digikey.com/en/products?keywords=4u7" TargetMode="External" /><ns0:Relationship Id="procurementLink112" Type="http://schemas.openxmlformats.org/officeDocument/2006/relationships/hyperlink" Target="https://www.digikey.com/en/products?keywords=5.1k" TargetMode="External" /><ns0:Relationship Id="procurementLink113" Type="http://schemas.openxmlformats.org/officeDocument/2006/relationships/hyperlink" Target="https://www.digikey.com/en/products?keywords=533980471" TargetMode="External" /><ns0:Relationship Id="procurementLink114" Type="http://schemas.openxmlformats.org/officeDocument/2006/relationships/hyperlink" Target="https://www.digikey.com/en/products?keywords=6.8k%20ohm%2C%201%25%2C%20%3E%3D0.1%20W%200603%20EIA" TargetMode="External" /><ns0:Relationship Id="procurementLink115" Type="http://schemas.openxmlformats.org/officeDocument/2006/relationships/hyperlink" Target="https://www.digikey.com/en/products?keywords=74LVC1T45DW-7" TargetMode="External" /><ns0:Relationship Id="procurementLink116" Type="http://schemas.openxmlformats.org/officeDocument/2006/relationships/hyperlink" Target="https://www.digikey.com/en/products?keywords=78800-0001" TargetMode="External" /><ns0:Relationship Id="procurementLink117" Type="http://schemas.openxmlformats.org/officeDocument/2006/relationships/hyperlink" Target="https://www.digikey.com/en/products?keywords=820p" TargetMode="External" /><ns0:Relationship Id="procurementLink118" Type="http://schemas.openxmlformats.org/officeDocument/2006/relationships/hyperlink" Target="https://www.digikey.com/en/products?keywords=8k" TargetMode="External" /><ns0:Relationship Id="procurementLink119" Type="http://schemas.openxmlformats.org/officeDocument/2006/relationships/hyperlink" Target="https://www.digikey.com/en/products?keywords=90120-0123" TargetMode="External" /><ns0:Relationship Id="procurementLink120" Type="http://schemas.openxmlformats.org/officeDocument/2006/relationships/hyperlink" Target="https://www.digikey.com/en/products?keywords=93AA66C-I%2FSN" TargetMode="External" /><ns0:Relationship Id="procurementLink121" Type="http://schemas.openxmlformats.org/officeDocument/2006/relationships/hyperlink" Target="https://www.digikey.com/en/products?keywords=AMS1117-1.2" TargetMode="External" /><ns0:Relationship Id="procurementLink122" Type="http://schemas.openxmlformats.org/officeDocument/2006/relationships/hyperlink" Target="https://www.digikey.com/en/products?keywords=AMS1117-3.3" TargetMode="External" /><ns0:Relationship Id="procurementLink123" Type="http://schemas.openxmlformats.org/officeDocument/2006/relationships/hyperlink" Target="https://www.digikey.com/en/products?keywords=AP64501SP-13" TargetMode="External" /><ns0:Relationship Id="procurementLink124" Type="http://schemas.openxmlformats.org/officeDocument/2006/relationships/hyperlink" Target="https://www.digikey.com/en/products?keywords=BM04B-GHS-TBT%28LF%29%28SN%29" TargetMode="External" /><ns0:Relationship Id="procurementLink125" Type="http://schemas.openxmlformats.org/officeDocument/2006/relationships/hyperlink" Target="https://www.digikey.com/en/products?keywords=BM06B-GHS-TBT%28LF%29%28SN%29" TargetMode="External" /><ns0:Relationship Id="procurementLink126" Type="http://schemas.openxmlformats.org/officeDocument/2006/relationships/hyperlink" Target="https://www.digikey.com/en/products?keywords=BM07B-GHS-TBT%20%28LF%29%28SN%29" TargetMode="External" /><ns0:Relationship Id="procurementLink127" Type="http://schemas.openxmlformats.org/officeDocument/2006/relationships/hyperlink" Target="https://www.digikey.com/en/products?keywords=BM09B-GHS-TBT%28LF%29%28SN%29%28N%29" TargetMode="External" /><ns0:Relationship Id="procurementLink128" Type="http://schemas.openxmlformats.org/officeDocument/2006/relationships/hyperlink" Target="https://www.digikey.com/en/products?keywords=BM20B-SRDS-G-TF%28LF%29%28SN%29" TargetMode="External" /><ns0:Relationship Id="procurementLink129" Type="http://schemas.openxmlformats.org/officeDocument/2006/relationships/hyperlink" Target="https://www.digikey.com/en/products?keywords=BMI088" TargetMode="External" /><ns0:Relationship Id="procurementLink130" Type="http://schemas.openxmlformats.org/officeDocument/2006/relationships/hyperlink" Target="https://www.digikey.com/en/products?keywords=Bench%20DC%20power%20supply" TargetMode="External" /><ns0:Relationship Id="procurementLink131" Type="http://schemas.openxmlformats.org/officeDocument/2006/relationships/hyperlink" Target="https://www.digikey.com/en/products?keywords=Blue%20indicator%20LED%200603%20EIA" TargetMode="External" /><ns0:Relationship Id="procurementLink132" Type="http://schemas.openxmlformats.org/officeDocument/2006/relationships/hyperlink" Target="https://www.digikey.com/en/products?keywords=Buck%20regulator%20circuit%20kit%20Select%20platform" TargetMode="External" /><ns0:Relationship Id="procurementLink133" Type="http://schemas.openxmlformats.org/officeDocument/2006/relationships/hyperlink" Target="https://www.digikey.com/en/products?keywords=Bulk%20aluminum%20capacitor%20Circuit-dependent" TargetMode="External" /><ns0:Relationship Id="procurementLink134" Type="http://schemas.openxmlformats.org/officeDocument/2006/relationships/hyperlink" Target="https://www.digikey.com/en/products?keywords=CSS2725FTL250" TargetMode="External" /><ns0:Relationship Id="procurementLink135" Type="http://schemas.openxmlformats.org/officeDocument/2006/relationships/hyperlink" Target="https://www.digikey.com/en/products?keywords=Component%20label%20printer" TargetMode="External" /><ns0:Relationship Id="procurementLink136" Type="http://schemas.openxmlformats.org/officeDocument/2006/relationships/hyperlink" Target="https://www.digikey.com/en/products?keywords=Crystal%20or%20oscillator%20Select%20platform" TargetMode="External" /><ns0:Relationship Id="procurementLink137" Type="http://schemas.openxmlformats.org/officeDocument/2006/relationships/hyperlink" Target="https://www.digikey.com/en/products?keywords=Cut-tape%20fixture" TargetMode="External" /><ns0:Relationship Id="procurementLink138" Type="http://schemas.openxmlformats.org/officeDocument/2006/relationships/hyperlink" Target="https://www.digikey.com/en/products?keywords=DCJ0202" TargetMode="External" /><ns0:Relationship Id="procurementLink139" Type="http://schemas.openxmlformats.org/officeDocument/2006/relationships/hyperlink" Target="https://www.digikey.com/en/products?keywords=DDR4%20SODIMM%20260P" TargetMode="External" /><ns0:Relationship Id="procurementLink140" Type="http://schemas.openxmlformats.org/officeDocument/2006/relationships/hyperlink" Target="https://www.digikey.com/en/products?keywords=DEA162500LT-1217A1" TargetMode="External" /><ns0:Relationship Id="procurementLink141" Type="http://schemas.openxmlformats.org/officeDocument/2006/relationships/hyperlink" Target="https://www.digikey.com/en/products?keywords=DW1000-I-TR13" TargetMode="External" /><ns0:Relationship Id="procurementLink142" Type="http://schemas.openxmlformats.org/officeDocument/2006/relationships/hyperlink" Target="https://www.digikey.com/en/products?keywords=Digital%20multimeter" TargetMode="External" /><ns0:Relationship Id="procurementLink143" Type="http://schemas.openxmlformats.org/officeDocument/2006/relationships/hyperlink" Target="https://www.digikey.com/en/products?keywords=Dry%20cabinet" TargetMode="External" /><ns0:Relationship Id="procurementLink144" Type="http://schemas.openxmlformats.org/officeDocument/2006/relationships/hyperlink" Target="https://www.digikey.com/en/products?keywords=ESD%20component%20storage%20bins" TargetMode="External" /><ns0:Relationship Id="procurementLink145" Type="http://schemas.openxmlformats.org/officeDocument/2006/relationships/hyperlink" Target="https://www.digikey.com/en/products?keywords=ESD%20mat%20and%20wrist%20strap%20kit" TargetMode="External" /><ns0:Relationship Id="procurementLink146" Type="http://schemas.openxmlformats.org/officeDocument/2006/relationships/hyperlink" Target="https://www.digikey.com/en/products?keywords=ESD%20tweezers" TargetMode="External" /><ns0:Relationship Id="procurementLink147" Type="http://schemas.openxmlformats.org/officeDocument/2006/relationships/hyperlink" Target="https://www.digikey.com/en/products?keywords=Electronic%20load" TargetMode="External" /><ns0:Relationship Id="procurementLink148" Type="http://schemas.openxmlformats.org/officeDocument/2006/relationships/hyperlink" Target="https://www.digikey.com/en/products?keywords=Electronics%20cleaning%20wipes%20and%20solvent" TargetMode="External" /><ns0:Relationship Id="procurementLink149" Type="http://schemas.openxmlformats.org/officeDocument/2006/relationships/hyperlink" Target="https://www.digikey.com/en/products?keywords=FM25V01A-GTR" TargetMode="External" /><ns0:Relationship Id="procurementLink150" Type="http://schemas.openxmlformats.org/officeDocument/2006/relationships/hyperlink" Target="https://www.digikey.com/en/products?keywords=FNR6028S3R3NT" TargetMode="External" /><ns0:Relationship Id="procurementLink151" Type="http://schemas.openxmlformats.org/officeDocument/2006/relationships/hyperlink" Target="https://www.digikey.com/en/products?keywords=Fast%20small-signal%20diode%20Select%20package" TargetMode="External" /><ns0:Relationship Id="procurementLink152" Type="http://schemas.openxmlformats.org/officeDocument/2006/relationships/hyperlink" Target="https://www.digikey.com/en/products?keywords=Ferrite%20bead%20Circuit-dependent" TargetMode="External" /><ns0:Relationship Id="procurementLink153" Type="http://schemas.openxmlformats.org/officeDocument/2006/relationships/hyperlink" Target="https://www.digikey.com/en/products?keywords=Flux%20solder%20wick%20solder%20wire" TargetMode="External" /><ns0:Relationship Id="procurementLink154" Type="http://schemas.openxmlformats.org/officeDocument/2006/relationships/hyperlink" Target="https://www.digikey.com/en/products?keywords=Fume%20extraction" TargetMode="External" /><ns0:Relationship Id="procurementLink155" Type="http://schemas.openxmlformats.org/officeDocument/2006/relationships/hyperlink" Target="https://www.digikey.com/en/products?keywords=GREEN" TargetMode="External" /><ns0:Relationship Id="procurementLink156" Type="http://schemas.openxmlformats.org/officeDocument/2006/relationships/hyperlink" Target="https://www.digikey.com/en/products?keywords=Green%20indicator%20LED%200603%20EIA" TargetMode="External" /><ns0:Relationship Id="procurementLink157" Type="http://schemas.openxmlformats.org/officeDocument/2006/relationships/hyperlink" Target="https://www.digikey.com/en/products?keywords=HHM1595A1" TargetMode="External" /><ns0:Relationship Id="procurementLink158" Type="http://schemas.openxmlformats.org/officeDocument/2006/relationships/hyperlink" Target="https://www.digikey.com/en/products?keywords=Heat%20shrink%20assortment" TargetMode="External" /><ns0:Relationship Id="procurementLink159" Type="http://schemas.openxmlformats.org/officeDocument/2006/relationships/hyperlink" Target="https://www.digikey.com/en/products?keywords=Hook-up%20wire%20assortment" TargetMode="External" /><ns0:Relationship Id="procurementLink160" Type="http://schemas.openxmlformats.org/officeDocument/2006/relationships/hyperlink" Target="https://www.digikey.com/en/products?keywords=Hot%20air%20rework%20station" TargetMode="External" /><ns0:Relationship Id="procurementLink161" Type="http://schemas.openxmlformats.org/officeDocument/2006/relationships/hyperlink" Target="https://www.digikey.com/en/products?keywords=I2C%20EEPROM%20Select%20platform" TargetMode="External" /><ns0:Relationship Id="procurementLink162" Type="http://schemas.openxmlformats.org/officeDocument/2006/relationships/hyperlink" Target="https://www.digikey.com/en/products?keywords=I2C%20level%20translator%20Select%20platform" TargetMode="External" /><ns0:Relationship Id="procurementLink163" Type="http://schemas.openxmlformats.org/officeDocument/2006/relationships/hyperlink" Target="https://www.digikey.com/en/products?keywords=ICM-42688-P" TargetMode="External" /><ns0:Relationship Id="procurementLink164" Type="http://schemas.openxmlformats.org/officeDocument/2006/relationships/hyperlink" Target="https://www.digikey.com/en/products?keywords=IMU%20Select%20platform" TargetMode="External" /><ns0:Relationship Id="procurementLink165" Type="http://schemas.openxmlformats.org/officeDocument/2006/relationships/hyperlink" Target="https://www.digikey.com/en/products?keywords=INA180" TargetMode="External" /><ns0:Relationship Id="procurementLink166" Type="http://schemas.openxmlformats.org/officeDocument/2006/relationships/hyperlink" Target="https://www.digikey.com/en/products?keywords=INA228AIDGSR" TargetMode="External" /><ns0:Relationship Id="procurementLink167" Type="http://schemas.openxmlformats.org/officeDocument/2006/relationships/hyperlink" Target="https://www.digikey.com/en/products?keywords=Inspection%20microscope" TargetMode="External" /><ns0:Relationship Id="procurementLink168" Type="http://schemas.openxmlformats.org/officeDocument/2006/relationships/hyperlink" Target="https://www.digikey.com/en/products?keywords=JST%20GH%202%20housing" TargetMode="External" /><ns0:Relationship Id="procurementLink169" Type="http://schemas.openxmlformats.org/officeDocument/2006/relationships/hyperlink" Target="https://www.digikey.com/en/products?keywords=JST%20GH%202%20pin" TargetMode="External" /><ns0:Relationship Id="procurementLink170" Type="http://schemas.openxmlformats.org/officeDocument/2006/relationships/hyperlink" Target="https://www.digikey.com/en/products?keywords=JST%20GH%203%20housing" TargetMode="External" /><ns0:Relationship Id="procurementLink171" Type="http://schemas.openxmlformats.org/officeDocument/2006/relationships/hyperlink" Target="https://www.digikey.com/en/products?keywords=JST%20GH%203%20pin" TargetMode="External" /><ns0:Relationship Id="procurementLink172" Type="http://schemas.openxmlformats.org/officeDocument/2006/relationships/hyperlink" Target="https://www.digikey.com/en/products?keywords=JST%20GH%204%20housing" TargetMode="External" /><ns0:Relationship Id="procurementLink173" Type="http://schemas.openxmlformats.org/officeDocument/2006/relationships/hyperlink" Target="https://www.digikey.com/en/products?keywords=JST%20GH%204%20pin" TargetMode="External" /><ns0:Relationship Id="procurementLink174" Type="http://schemas.openxmlformats.org/officeDocument/2006/relationships/hyperlink" Target="https://www.digikey.com/en/products?keywords=JST%20GH%206%20housing" TargetMode="External" /><ns0:Relationship Id="procurementLink175" Type="http://schemas.openxmlformats.org/officeDocument/2006/relationships/hyperlink" Target="https://www.digikey.com/en/products?keywords=JST%20GH%206%20pin" TargetMode="External" /><ns0:Relationship Id="procurementLink176" Type="http://schemas.openxmlformats.org/officeDocument/2006/relationships/hyperlink" Target="https://www.digikey.com/en/products?keywords=JST%20GH%20compatible%20crimp%20tool" TargetMode="External" /><ns0:Relationship Id="procurementLink177" Type="http://schemas.openxmlformats.org/officeDocument/2006/relationships/hyperlink" Target="https://www.digikey.com/en/products?keywords=JST%20GH%20crimp%20contact" TargetMode="External" /><ns0:Relationship Id="procurementLink178" Type="http://schemas.openxmlformats.org/officeDocument/2006/relationships/hyperlink" Target="https://www.digikey.com/en/products?keywords=LAN7800%2FY9X" TargetMode="External" /><ns0:Relationship Id="procurementLink179" Type="http://schemas.openxmlformats.org/officeDocument/2006/relationships/hyperlink" Target="https://www.digikey.com/en/products?keywords=LIS2MDLTR" TargetMode="External" /><ns0:Relationship Id="procurementLink180" Type="http://schemas.openxmlformats.org/officeDocument/2006/relationships/hyperlink" Target="https://www.digikey.com/en/products?keywords=LM73100RPWR" TargetMode="External" /><ns0:Relationship Id="procurementLink181" Type="http://schemas.openxmlformats.org/officeDocument/2006/relationships/hyperlink" Target="https://www.digikey.com/en/products?keywords=LPS22HBTR" TargetMode="External" /><ns0:Relationship Id="procurementLink182" Type="http://schemas.openxmlformats.org/officeDocument/2006/relationships/hyperlink" Target="https://www.digikey.com/en/products?keywords=LQW15AN2N5B00D" TargetMode="External" /><ns0:Relationship Id="procurementLink183" Type="http://schemas.openxmlformats.org/officeDocument/2006/relationships/hyperlink" Target="https://www.digikey.com/en/products?keywords=LQW15AN3N0B80D" TargetMode="External" /><ns0:Relationship Id="procurementLink184" Type="http://schemas.openxmlformats.org/officeDocument/2006/relationships/hyperlink" Target="https://www.digikey.com/en/products?keywords=Logic%20analyzer" TargetMode="External" /><ns0:Relationship Id="procurementLink185" Type="http://schemas.openxmlformats.org/officeDocument/2006/relationships/hyperlink" Target="https://www.digikey.com/en/products?keywords=Logic-level%20N-MOSFET%20SOT-23" TargetMode="External" /><ns0:Relationship Id="procurementLink186" Type="http://schemas.openxmlformats.org/officeDocument/2006/relationships/hyperlink" Target="https://www.digikey.com/en/products?keywords=Logic-level%20P-MOSFET%20SOT-23" TargetMode="External" /><ns0:Relationship Id="procurementLink187" Type="http://schemas.openxmlformats.org/officeDocument/2006/relationships/hyperlink" Target="https://www.digikey.com/en/products?keywords=Low-capacitance%20ESD%20array%20Circuit-dependent" TargetMode="External" /><ns0:Relationship Id="procurementLink188" Type="http://schemas.openxmlformats.org/officeDocument/2006/relationships/hyperlink" Target="https://www.digikey.com/en/products?keywords=MAX3051EKA%2BT" TargetMode="External" /><ns0:Relationship Id="procurementLink189" Type="http://schemas.openxmlformats.org/officeDocument/2006/relationships/hyperlink" Target="https://www.digikey.com/en/products?keywords=MCU%20programmer%20debugger" TargetMode="External" /><ns0:Relationship Id="procurementLink190" Type="http://schemas.openxmlformats.org/officeDocument/2006/relationships/hyperlink" Target="https://www.digikey.com/en/products?keywords=Microcontroller%20Select%20platform" TargetMode="External" /><ns0:Relationship Id="procurementLink191" Type="http://schemas.openxmlformats.org/officeDocument/2006/relationships/hyperlink" Target="https://www.digikey.com/en/products?keywords=Moisture%20barrier%20bags%20desiccant%20humidity%20cards" TargetMode="External" /><ns0:Relationship Id="procurementLink192" Type="http://schemas.openxmlformats.org/officeDocument/2006/relationships/hyperlink" Target="https://www.digikey.com/en/products?keywords=NPN%20switching%20transistor%20SOT-23" TargetMode="External" /><ns0:Relationship Id="procurementLink193" Type="http://schemas.openxmlformats.org/officeDocument/2006/relationships/hyperlink" Target="https://www.digikey.com/en/products?keywords=Oscilloscope%20with%20probes" TargetMode="External" /><ns0:Relationship Id="procurementLink194" Type="http://schemas.openxmlformats.org/officeDocument/2006/relationships/hyperlink" Target="https://www.digikey.com/en/products?keywords=PCB%20stencil" TargetMode="External" /><ns0:Relationship Id="procurementLink195" Type="http://schemas.openxmlformats.org/officeDocument/2006/relationships/hyperlink" Target="https://www.digikey.com/en/products?keywords=PCB%20support%20fixtures" TargetMode="External" /><ns0:Relationship Id="procurementLink196" Type="http://schemas.openxmlformats.org/officeDocument/2006/relationships/hyperlink" Target="https://www.digikey.com/en/products?keywords=PCB%20test%20point%20Select%20footprint" TargetMode="External" /><ns0:Relationship Id="procurementLink197" Type="http://schemas.openxmlformats.org/officeDocument/2006/relationships/hyperlink" Target="https://www.digikey.com/en/products?keywords=PNP%20switching%20transistor%20SOT-23" TargetMode="External" /><ns0:Relationship Id="procurementLink198" Type="http://schemas.openxmlformats.org/officeDocument/2006/relationships/hyperlink" Target="https://www.digikey.com/en/products?keywords=PnP%20feeders" TargetMode="External" /><ns0:Relationship Id="procurementLink199" Type="http://schemas.openxmlformats.org/officeDocument/2006/relationships/hyperlink" Target="https://www.digikey.com/en/products?keywords=PnP%20nozzle%20set" TargetMode="External" /><ns0:Relationship Id="procurementLink200" Type="http://schemas.openxmlformats.org/officeDocument/2006/relationships/hyperlink" Target="https://www.digikey.com/en/products?keywords=Power%20connector%20mating%20pair%20Mechanical%20choice" TargetMode="External" /><ns0:Relationship Id="procurementLink201" Type="http://schemas.openxmlformats.org/officeDocument/2006/relationships/hyperlink" Target="https://www.digikey.com/en/products?keywords=Power%20inductor%20Circuit-dependent" TargetMode="External" /><ns0:Relationship Id="procurementLink202" Type="http://schemas.openxmlformats.org/officeDocument/2006/relationships/hyperlink" Target="https://www.digikey.com/en/products?keywords=Power-bus%20TVS%20diode%20Circuit-dependent" TargetMode="External" /><ns0:Relationship Id="procurementLink203" Type="http://schemas.openxmlformats.org/officeDocument/2006/relationships/hyperlink" Target="https://www.digikey.com/en/products?keywords=Precision%20shunt%20resistor%20Circuit-dependent" TargetMode="External" /><ns0:Relationship Id="procurementLink204" Type="http://schemas.openxmlformats.org/officeDocument/2006/relationships/hyperlink" Target="https://www.digikey.com/en/products?keywords=RED" TargetMode="External" /><ns0:Relationship Id="procurementLink205" Type="http://schemas.openxmlformats.org/officeDocument/2006/relationships/hyperlink" Target="https://www.digikey.com/en/products?keywords=RF%20connector%20Mechanical%20choice" TargetMode="External" /><ns0:Relationship Id="procurementLink206" Type="http://schemas.openxmlformats.org/officeDocument/2006/relationships/hyperlink" Target="https://www.digikey.com/en/products?keywords=RFX2401C" TargetMode="External" /><ns0:Relationship Id="procurementLink207" Type="http://schemas.openxmlformats.org/officeDocument/2006/relationships/hyperlink" Target="https://www.digikey.com/en/products?keywords=RS-485%20transceiver%20Select%20platform" TargetMode="External" /><ns0:Relationship Id="procurementLink208" Type="http://schemas.openxmlformats.org/officeDocument/2006/relationships/hyperlink" Target="https://www.digikey.com/en/products?keywords=Red%20indicator%20LED%200603%20EIA" TargetMode="External" /><ns0:Relationship Id="procurementLink209" Type="http://schemas.openxmlformats.org/officeDocument/2006/relationships/hyperlink" Target="https://www.digikey.com/en/products?keywords=Reel%20storage%20rack" TargetMode="External" /><ns0:Relationship Id="procurementLink210" Type="http://schemas.openxmlformats.org/officeDocument/2006/relationships/hyperlink" Target="https://www.digikey.com/en/products?keywords=Reflow%20oven" TargetMode="External" /><ns0:Relationship Id="procurementLink211" Type="http://schemas.openxmlformats.org/officeDocument/2006/relationships/hyperlink" Target="https://www.digikey.com/en/products?keywords=Reflow%20thermocouple%20profiler" TargetMode="External" /><ns0:Relationship Id="procurementLink212" Type="http://schemas.openxmlformats.org/officeDocument/2006/relationships/hyperlink" Target="https://www.digikey.com/en/products?keywords=Reset%20supervisor%20Select%20platform" TargetMode="External" /><ns0:Relationship Id="procurementLink213" Type="http://schemas.openxmlformats.org/officeDocument/2006/relationships/hyperlink" Target="https://www.digikey.com/en/products?keywords=SKY13585-679LF" TargetMode="External" /><ns0:Relationship Id="procurementLink214" Type="http://schemas.openxmlformats.org/officeDocument/2006/relationships/hyperlink" Target="https://www.digikey.com/en/products?keywords=SN74LVC1G125" TargetMode="External" /><ns0:Relationship Id="procurementLink215" Type="http://schemas.openxmlformats.org/officeDocument/2006/relationships/hyperlink" Target="https://www.digikey.com/en/products?keywords=SN74LVC1G14" TargetMode="External" /><ns0:Relationship Id="procurementLink216" Type="http://schemas.openxmlformats.org/officeDocument/2006/relationships/hyperlink" Target="https://www.digikey.com/en/products?keywords=SN74LVC1T45" TargetMode="External" /><ns0:Relationship Id="procurementLink217" Type="http://schemas.openxmlformats.org/officeDocument/2006/relationships/hyperlink" Target="https://www.digikey.com/en/products?keywords=SPI%20flash%20Select%20platform" TargetMode="External" /><ns0:Relationship Id="procurementLink218" Type="http://schemas.openxmlformats.org/officeDocument/2006/relationships/hyperlink" Target="https://www.digikey.com/en/products?keywords=ST33HTPH2X32AHE4" TargetMode="External" /><ns0:Relationship Id="procurementLink219" Type="http://schemas.openxmlformats.org/officeDocument/2006/relationships/hyperlink" Target="https://www.digikey.com/en/products?keywords=STM32F030F4P6TR" TargetMode="External" /><ns0:Relationship Id="procurementLink220" Type="http://schemas.openxmlformats.org/officeDocument/2006/relationships/hyperlink" Target="https://www.digikey.com/en/products?keywords=STM32F446RET6" TargetMode="External" /><ns0:Relationship Id="procurementLink221" Type="http://schemas.openxmlformats.org/officeDocument/2006/relationships/hyperlink" Target="https://www.digikey.com/en/products?keywords=STM32H743IIK6" TargetMode="External" /><ns0:Relationship Id="procurementLink222" Type="http://schemas.openxmlformats.org/officeDocument/2006/relationships/hyperlink" Target="https://www.digikey.com/en/products?keywords=SWD%20programming%20connector%20Mechanical%20choice" TargetMode="External" /><ns0:Relationship Id="procurementLink223" Type="http://schemas.openxmlformats.org/officeDocument/2006/relationships/hyperlink" Target="https://www.digikey.com/en/products?keywords=SX1280IMLTRT" TargetMode="External" /><ns0:Relationship Id="procurementLink224" Type="http://schemas.openxmlformats.org/officeDocument/2006/relationships/hyperlink" Target="https://www.digikey.com/en/products?keywords=Small%20Schottky%20diode%20Select%20package" TargetMode="External" /><ns0:Relationship Id="procurementLink225" Type="http://schemas.openxmlformats.org/officeDocument/2006/relationships/hyperlink" Target="https://www.digikey.com/en/products?keywords=Solder%20paste" TargetMode="External" /><ns0:Relationship Id="procurementLink226" Type="http://schemas.openxmlformats.org/officeDocument/2006/relationships/hyperlink" Target="https://www.digikey.com/en/products?keywords=Soldering%20station" TargetMode="External" /><ns0:Relationship Id="procurementLink227" Type="http://schemas.openxmlformats.org/officeDocument/2006/relationships/hyperlink" Target="https://www.digikey.com/en/products?keywords=Stencil%20printer%20or%20alignment%20fixture" TargetMode="External" /><ns0:Relationship Id="procurementLink228" Type="http://schemas.openxmlformats.org/officeDocument/2006/relationships/hyperlink" Target="https://www.digikey.com/en/products?keywords=TC2030-NL-FP" TargetMode="External" /><ns0:Relationship Id="procurementLink229" Type="http://schemas.openxmlformats.org/officeDocument/2006/relationships/hyperlink" Target="https://www.digikey.com/en/products?keywords=TC5050RGBF08-3CJH-AF53A" TargetMode="External" /><ns0:Relationship Id="procurementLink230" Type="http://schemas.openxmlformats.org/officeDocument/2006/relationships/hyperlink" Target="https://www.digikey.com/en/products?keywords=TCAN332" TargetMode="External" /><ns0:Relationship Id="procurementLink231" Type="http://schemas.openxmlformats.org/officeDocument/2006/relationships/hyperlink" Target="https://www.digikey.com/en/products?keywords=TESEO-LIV3R" TargetMode="External" /><ns0:Relationship Id="procurementLink232" Type="http://schemas.openxmlformats.org/officeDocument/2006/relationships/hyperlink" Target="https://www.digikey.com/en/products?keywords=THVD1551DGK" TargetMode="External" /><ns0:Relationship Id="procurementLink233" Type="http://schemas.openxmlformats.org/officeDocument/2006/relationships/hyperlink" Target="https://www.digikey.com/en/products?keywords=TLV3201" TargetMode="External" /><ns0:Relationship Id="procurementLink234" Type="http://schemas.openxmlformats.org/officeDocument/2006/relationships/hyperlink" Target="https://www.digikey.com/en/products?keywords=TLV755P" TargetMode="External" /><ns0:Relationship Id="procurementLink235" Type="http://schemas.openxmlformats.org/officeDocument/2006/relationships/hyperlink" Target="https://www.digikey.com/en/products?keywords=TLV9002" TargetMode="External" /><ns0:Relationship Id="procurementLink236" Type="http://schemas.openxmlformats.org/officeDocument/2006/relationships/hyperlink" Target="https://www.digikey.com/en/products?keywords=TMUX1309PWR" TargetMode="External" /><ns0:Relationship Id="procurementLink237" Type="http://schemas.openxmlformats.org/officeDocument/2006/relationships/hyperlink" Target="https://www.digikey.com/en/products?keywords=TPS22918" TargetMode="External" /><ns0:Relationship Id="procurementLink238" Type="http://schemas.openxmlformats.org/officeDocument/2006/relationships/hyperlink" Target="https://www.digikey.com/en/products?keywords=TSX-3225%2024.0000MF15X-AC" TargetMode="External" /><ns0:Relationship Id="procurementLink239" Type="http://schemas.openxmlformats.org/officeDocument/2006/relationships/hyperlink" Target="https://www.digikey.com/en/products?keywords=TXB0104RGYR" TargetMode="External" /><ns0:Relationship Id="procurementLink240" Type="http://schemas.openxmlformats.org/officeDocument/2006/relationships/hyperlink" Target="https://www.digikey.com/en/products?keywords=Tactile%20switch%20Select%20footprint" TargetMode="External" /><ns0:Relationship Id="procurementLink241" Type="http://schemas.openxmlformats.org/officeDocument/2006/relationships/hyperlink" Target="https://www.digikey.com/en/products?keywords=Tape%20leader%20and%20splice%20supplies" TargetMode="External" /><ns0:Relationship Id="procurementLink242" Type="http://schemas.openxmlformats.org/officeDocument/2006/relationships/hyperlink" Target="https://www.digikey.com/en/products?keywords=U.FL-R-SMT-1%2880%29" TargetMode="External" /><ns0:Relationship Id="procurementLink243" Type="http://schemas.openxmlformats.org/officeDocument/2006/relationships/hyperlink" Target="https://www.digikey.com/en/products?keywords=USB%20UART%20bridge%20Select%20platform" TargetMode="External" /><ns0:Relationship Id="procurementLink244" Type="http://schemas.openxmlformats.org/officeDocument/2006/relationships/hyperlink" Target="https://www.digikey.com/en/products?keywords=USB%20connector%20Mechanical%20choice" TargetMode="External" /><ns0:Relationship Id="procurementLink245" Type="http://schemas.openxmlformats.org/officeDocument/2006/relationships/hyperlink" Target="https://www.digikey.com/en/products?keywords=USB5744-I%2F2G" TargetMode="External" /><ns0:Relationship Id="procurementLink246" Type="http://schemas.openxmlformats.org/officeDocument/2006/relationships/hyperlink" Target="https://www.digikey.com/en/products?keywords=Wire%20stripper%20and%20flush%20cutters" TargetMode="External" /><ns0:Relationship Id="procurementLink247" Type="http://schemas.openxmlformats.org/officeDocument/2006/relationships/hyperlink" Target="https://www.digikey.com/en/products?keywords=XT60PW-F" TargetMode="External" /><ns0:Relationship Id="procurementLink248" Type="http://schemas.openxmlformats.org/officeDocument/2006/relationships/hyperlink" Target="https://www.digikey.com/en/products?keywords=XT60PW-M" TargetMode="External" /><ns0:Relationship Id="procurementLink249" Type="http://schemas.openxmlformats.org/officeDocument/2006/relationships/hyperlink" Target="https://www.jst-mfg.com/product/index.php?series=105" TargetMode="External" /><ns0:Relationship Id="procurementLink250" Type="http://schemas.openxmlformats.org/officeDocument/2006/relationships/hyperlink" Target="https://www.qorvo.com/support/subscription-center/product-longevity-program" TargetMode="External" /><ns0:Relationship Id="procurementLink251" Type="http://schemas.openxmlformats.org/officeDocument/2006/relationships/hyperlink" Target="https://www.st.com/en/positioning/teseo-liv3r.html" TargetMode="External" /><ns0:Relationship Id="procurementLink252" Type="http://schemas.openxmlformats.org/officeDocument/2006/relationships/hyperlink" Target="https://www.ti.com/product/INA180" TargetMode="External" /><ns0:Relationship Id="procurementLink253" Type="http://schemas.openxmlformats.org/officeDocument/2006/relationships/hyperlink" Target="https://www.ti.com/product/SN74LVC1G125" TargetMode="External" /><ns0:Relationship Id="procurementLink254" Type="http://schemas.openxmlformats.org/officeDocument/2006/relationships/hyperlink" Target="https://www.ti.com/product/SN74LVC1G14" TargetMode="External" /><ns0:Relationship Id="procurementLink255" Type="http://schemas.openxmlformats.org/officeDocument/2006/relationships/hyperlink" Target="https://www.ti.com/product/SN74LVC1T45" TargetMode="External" /><ns0:Relationship Id="procurementLink256" Type="http://schemas.openxmlformats.org/officeDocument/2006/relationships/hyperlink" Target="https://www.ti.com/product/TCAN332" TargetMode="External" /><ns0:Relationship Id="procurementLink257" Type="http://schemas.openxmlformats.org/officeDocument/2006/relationships/hyperlink" Target="https://www.ti.com/product/TLV3201" TargetMode="External" /><ns0:Relationship Id="procurementLink258" Type="http://schemas.openxmlformats.org/officeDocument/2006/relationships/hyperlink" Target="https://www.ti.com/product/TLV755P" TargetMode="External" /><ns0:Relationship Id="procurementLink259" Type="http://schemas.openxmlformats.org/officeDocument/2006/relationships/hyperlink" Target="https://www.ti.com/product/TLV9002" TargetMode="External" /><ns0:Relationship Id="procurementLink260" Type="http://schemas.openxmlformats.org/officeDocument/2006/relationships/hyperlink" Target="https://www.ti.com/product/TPS22918" TargetMode="External" /></ns0: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03D59"/>
  </sheetPr>
  <sheetViews>
    <sheetView showGridLines="0" workbookViewId="0">
      <pane xSplit="3" ySplit="8" topLeftCell="D9" activePane="bottomRight" state="frozen"/>
    </sheetView>
  </sheetViews>
  <sheetFormatPr defaultRowHeight="15"/>
  <cols>
    <col min="1" max="1" width="9" hidden="0" customWidth="1"/>
    <col min="2" max="2" width="19" hidden="0" customWidth="1"/>
    <col min="3" max="3" width="43" hidden="0" customWidth="1"/>
    <col min="4" max="4" width="23" hidden="0" customWidth="1"/>
    <col min="5" max="5" width="13" hidden="0" customWidth="1"/>
    <col min="6" max="6" width="13" hidden="0" customWidth="1"/>
    <col min="7" max="7" width="13" hidden="0" customWidth="1"/>
    <col min="8" max="8" width="13" hidden="0" customWidth="1"/>
    <col min="9" max="9" width="12" hidden="0" customWidth="1"/>
    <col min="10" max="10" width="24" hidden="0" customWidth="1"/>
    <col min="11" max="11" width="23" hidden="0" customWidth="1"/>
    <col min="12" max="12" width="20" hidden="0" customWidth="1"/>
    <col min="13" max="13" width="29" hidden="0" customWidth="1"/>
    <col min="14" max="14" width="66" hidden="0" customWidth="1"/>
    <col min="15" max="15" width="34" hidden="0" customWidth="1"/>
    <col min="16" max="16" width="3" hidden="0" customWidth="1"/>
    <col min="17" max="17" width="24" hidden="0" customWidth="1"/>
    <col min="18" max="18" width="21" hidden="0" customWidth="1"/>
    <col min="19" max="19" width="21" hidden="0" customWidth="1"/>
    <col min="20" max="20" width="44" hidden="0" customWidth="1"/>
    <col min="21" max="21" width="33" hidden="0" customWidth="1"/>
  </cols>
  <sheetData>
    <row r="1" ht="3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32" customHeight="1">
      <c r="A2" s="3" t="str">
        <v>General lab component stock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32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ht="32" customHeight="1">
      <c r="A4" s="2" t="str">
        <v>Targets are starter-stock recommendations per row, before inventory. P1 = first wave; P2 = expand after platform selection.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Q4" t="str">
        <v>Priced target subtotal</v>
      </c>
      <c r="R4" t="str">
        <f>IF(COUNT(Q9:Q97)=0,"",SUM(R9:R97))</f>
      </c>
    </row>
    <row r="5" ht="32" customHeight="1">
      <c r="A5" s="2" t="str">
        <v>Yellow cells are editable. Enter 0 for confirmed none. Gap stays blank until stock and open orders are recorded.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Q5" t="str">
        <v>Lines needing prices</v>
      </c>
      <c r="R5" t="n">
        <f>ROWS(Q9:Q97)-COUNT(Q9:Q97)</f>
        <v>89</v>
      </c>
    </row>
    <row r="6" ht="32" customHeight="1">
      <c r="A6" s="2" t="str">
        <v>Gap is a planning quantity, not order release. Round to supplier packs after exact MPN and carrier selection. Links do not confirm price or stock.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Q6" t="str">
        <v>Full target cost</v>
      </c>
      <c r="R6" t="str">
        <f>IF(AND(COUNT(E9:E97)=ROWS(E9:E97),COUNT(Q9:Q97)=ROWS(Q9:Q97)),SUM(R9:R97),"")</f>
      </c>
    </row>
    <row r="7" ht="32" customHeight="1">
      <c r="A7" s="2" t="str">
        <v>Prepared 14 Sep 2026. Count Ryan’s books only when identified and usable. Keep project-reserved stock out of free stock.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ht="42" customHeight="1">
      <c r="A8" s="8" t="str">
        <v>Priority</v>
      </c>
      <c r="B8" s="8" t="str">
        <v>Category</v>
      </c>
      <c r="C8" s="8" t="str">
        <v>Item / specification</v>
      </c>
      <c r="D8" s="8" t="str">
        <v>Package</v>
      </c>
      <c r="E8" s="8" t="str">
        <v>Target stock</v>
      </c>
      <c r="F8" s="8" t="str">
        <v>Free stock</v>
      </c>
      <c r="G8" s="8" t="str">
        <v>Open orders</v>
      </c>
      <c r="H8" s="8" t="str">
        <v>Stock gap</v>
      </c>
      <c r="I8" s="8" t="str">
        <v>Unit</v>
      </c>
      <c r="J8" s="8" t="str">
        <v>Candidate family / code</v>
      </c>
      <c r="K8" s="8" t="str">
        <v>Manufacturer</v>
      </c>
      <c r="L8" s="8" t="str">
        <v>Supplier search</v>
      </c>
      <c r="M8" s="8" t="str">
        <v>Selection needed</v>
      </c>
      <c r="N8" s="8" t="str">
        <v>Use</v>
      </c>
      <c r="O8" s="8" t="str">
        <v>Supply format</v>
      </c>
      <c r="Q8" s="18" t="str">
        <v>Unit cost USD</v>
      </c>
      <c r="R8" s="18" t="str">
        <v>Target cost USD</v>
      </c>
      <c r="S8" s="18" t="str">
        <v>Gap cost USD</v>
      </c>
      <c r="T8" s="18" t="str">
        <v>Price source / quote</v>
      </c>
      <c r="U8" s="18" t="str">
        <v>Price status</v>
      </c>
    </row>
    <row r="9" ht="42" customHeight="1">
      <c r="A9" s="2" t="str">
        <v>P1</v>
      </c>
      <c r="B9" s="2" t="str">
        <v>Resistors</v>
      </c>
      <c r="C9" s="15" t="str">
        <v>0 ohm jumper</v>
      </c>
      <c r="D9" s="15" t="str">
        <v>0603 EIA</v>
      </c>
      <c r="E9" s="12" t="n">
        <v>1000</v>
      </c>
      <c r="F9" s="12"/>
      <c r="G9" s="12"/>
      <c r="H9" s="13" t="str">
        <f>IF(AND(ISNUMBER(E9),ISNUMBER(F9),ISNUMBER(G9)),MAX(0,E9-F9-G9),"")</f>
      </c>
      <c r="I9" s="2" t="str">
        <v>pcs</v>
      </c>
      <c r="J9" s="2" t="str">
        <v>To select</v>
      </c>
      <c r="K9" s="14"/>
      <c r="L9" s="14" t="str">
        <v>Search supplier</v>
      </c>
      <c r="M9" s="15" t="str">
        <v>Select exact MPN</v>
      </c>
      <c r="N9" s="15" t="str">
        <v>Bias, pull-ups, current limiting or signal termination.</v>
      </c>
      <c r="O9" s="15" t="str">
        <v>Custom reel / continuous tape</v>
      </c>
      <c r="Q9" s="22"/>
      <c r="R9" s="23" t="str">
        <f>IF(AND(ISNUMBER(E9),ISNUMBER(Q9)),E9*Q9,"")</f>
      </c>
      <c r="S9" s="23" t="str">
        <f>IF(AND(ISNUMBER(H9),ISNUMBER(Q9)),H9*Q9,"")</f>
      </c>
      <c r="T9" s="20"/>
      <c r="U9" s="20" t="str">
        <f>IF(ISNUMBER(Q9),"Price entered; verify source","Select exact item / quote")</f>
        <v>Select exact item / quote</v>
      </c>
    </row>
    <row r="10" ht="42" customHeight="1">
      <c r="A10" s="2" t="str">
        <v>P1</v>
      </c>
      <c r="B10" s="2" t="str">
        <v>Resistors</v>
      </c>
      <c r="C10" s="15" t="str">
        <v>100 ohm, 1%, &gt;=0.1 W</v>
      </c>
      <c r="D10" s="15" t="str">
        <v>0603 EIA</v>
      </c>
      <c r="E10" s="12" t="n">
        <v>1000</v>
      </c>
      <c r="F10" s="12"/>
      <c r="G10" s="12"/>
      <c r="H10" s="13" t="str">
        <f>IF(AND(ISNUMBER(E10),ISNUMBER(F10),ISNUMBER(G10)),MAX(0,E10-F10-G10),"")</f>
      </c>
      <c r="I10" s="2" t="str">
        <v>pcs</v>
      </c>
      <c r="J10" s="2" t="str">
        <v>To select</v>
      </c>
      <c r="K10" s="14"/>
      <c r="L10" s="14" t="str">
        <v>Search supplier</v>
      </c>
      <c r="M10" s="15" t="str">
        <v>Select exact MPN</v>
      </c>
      <c r="N10" s="15" t="str">
        <v>Bias, pull-ups, current limiting or signal termination.</v>
      </c>
      <c r="O10" s="15" t="str">
        <v>Custom reel / continuous tape</v>
      </c>
      <c r="Q10" s="22"/>
      <c r="R10" s="23" t="str">
        <f>IF(AND(ISNUMBER(E10),ISNUMBER(Q10)),E10*Q10,"")</f>
      </c>
      <c r="S10" s="23" t="str">
        <f>IF(AND(ISNUMBER(H10),ISNUMBER(Q10)),H10*Q10,"")</f>
      </c>
      <c r="T10" s="20"/>
      <c r="U10" s="20" t="str">
        <f>IF(ISNUMBER(Q10),"Price entered; verify source","Select exact item / quote")</f>
        <v>Select exact item / quote</v>
      </c>
    </row>
    <row r="11" ht="42" customHeight="1">
      <c r="A11" s="2" t="str">
        <v>P1</v>
      </c>
      <c r="B11" s="2" t="str">
        <v>Resistors</v>
      </c>
      <c r="C11" s="15" t="str">
        <v>330 ohm, 1%, &gt;=0.1 W</v>
      </c>
      <c r="D11" s="15" t="str">
        <v>0603 EIA</v>
      </c>
      <c r="E11" s="12" t="n">
        <v>1000</v>
      </c>
      <c r="F11" s="12"/>
      <c r="G11" s="12"/>
      <c r="H11" s="13" t="str">
        <f>IF(AND(ISNUMBER(E11),ISNUMBER(F11),ISNUMBER(G11)),MAX(0,E11-F11-G11),"")</f>
      </c>
      <c r="I11" s="2" t="str">
        <v>pcs</v>
      </c>
      <c r="J11" s="2" t="str">
        <v>To select</v>
      </c>
      <c r="K11" s="14"/>
      <c r="L11" s="14" t="str">
        <v>Search supplier</v>
      </c>
      <c r="M11" s="15" t="str">
        <v>Select exact MPN</v>
      </c>
      <c r="N11" s="15" t="str">
        <v>Bias, pull-ups, current limiting or signal termination.</v>
      </c>
      <c r="O11" s="15" t="str">
        <v>Custom reel / continuous tape</v>
      </c>
      <c r="Q11" s="22"/>
      <c r="R11" s="23" t="str">
        <f>IF(AND(ISNUMBER(E11),ISNUMBER(Q11)),E11*Q11,"")</f>
      </c>
      <c r="S11" s="23" t="str">
        <f>IF(AND(ISNUMBER(H11),ISNUMBER(Q11)),H11*Q11,"")</f>
      </c>
      <c r="T11" s="20"/>
      <c r="U11" s="20" t="str">
        <f>IF(ISNUMBER(Q11),"Price entered; verify source","Select exact item / quote")</f>
        <v>Select exact item / quote</v>
      </c>
    </row>
    <row r="12" ht="42" customHeight="1">
      <c r="A12" s="2" t="str">
        <v>P1</v>
      </c>
      <c r="B12" s="2" t="str">
        <v>Resistors</v>
      </c>
      <c r="C12" s="15" t="str">
        <v>1k ohm, 1%, &gt;=0.1 W</v>
      </c>
      <c r="D12" s="15" t="str">
        <v>0603 EIA</v>
      </c>
      <c r="E12" s="12" t="n">
        <v>1000</v>
      </c>
      <c r="F12" s="12"/>
      <c r="G12" s="12"/>
      <c r="H12" s="13" t="str">
        <f>IF(AND(ISNUMBER(E12),ISNUMBER(F12),ISNUMBER(G12)),MAX(0,E12-F12-G12),"")</f>
      </c>
      <c r="I12" s="2" t="str">
        <v>pcs</v>
      </c>
      <c r="J12" s="2" t="str">
        <v>To select</v>
      </c>
      <c r="K12" s="14"/>
      <c r="L12" s="14" t="str">
        <v>Search supplier</v>
      </c>
      <c r="M12" s="15" t="str">
        <v>Select exact MPN</v>
      </c>
      <c r="N12" s="15" t="str">
        <v>Bias, pull-ups, current limiting or signal termination.</v>
      </c>
      <c r="O12" s="15" t="str">
        <v>Custom reel / continuous tape</v>
      </c>
      <c r="Q12" s="22"/>
      <c r="R12" s="23" t="str">
        <f>IF(AND(ISNUMBER(E12),ISNUMBER(Q12)),E12*Q12,"")</f>
      </c>
      <c r="S12" s="23" t="str">
        <f>IF(AND(ISNUMBER(H12),ISNUMBER(Q12)),H12*Q12,"")</f>
      </c>
      <c r="T12" s="20"/>
      <c r="U12" s="20" t="str">
        <f>IF(ISNUMBER(Q12),"Price entered; verify source","Select exact item / quote")</f>
        <v>Select exact item / quote</v>
      </c>
    </row>
    <row r="13" ht="42" customHeight="1">
      <c r="A13" s="2" t="str">
        <v>P1</v>
      </c>
      <c r="B13" s="2" t="str">
        <v>Resistors</v>
      </c>
      <c r="C13" s="15" t="str">
        <v>4.7k ohm, 1%, &gt;=0.1 W</v>
      </c>
      <c r="D13" s="15" t="str">
        <v>0603 EIA</v>
      </c>
      <c r="E13" s="12" t="n">
        <v>1000</v>
      </c>
      <c r="F13" s="12"/>
      <c r="G13" s="12"/>
      <c r="H13" s="13" t="str">
        <f>IF(AND(ISNUMBER(E13),ISNUMBER(F13),ISNUMBER(G13)),MAX(0,E13-F13-G13),"")</f>
      </c>
      <c r="I13" s="2" t="str">
        <v>pcs</v>
      </c>
      <c r="J13" s="2" t="str">
        <v>To select</v>
      </c>
      <c r="K13" s="14"/>
      <c r="L13" s="14" t="str">
        <v>Search supplier</v>
      </c>
      <c r="M13" s="15" t="str">
        <v>Select exact MPN</v>
      </c>
      <c r="N13" s="15" t="str">
        <v>Bias, pull-ups, current limiting or signal termination.</v>
      </c>
      <c r="O13" s="15" t="str">
        <v>Custom reel / continuous tape</v>
      </c>
      <c r="Q13" s="22"/>
      <c r="R13" s="23" t="str">
        <f>IF(AND(ISNUMBER(E13),ISNUMBER(Q13)),E13*Q13,"")</f>
      </c>
      <c r="S13" s="23" t="str">
        <f>IF(AND(ISNUMBER(H13),ISNUMBER(Q13)),H13*Q13,"")</f>
      </c>
      <c r="T13" s="20"/>
      <c r="U13" s="20" t="str">
        <f>IF(ISNUMBER(Q13),"Price entered; verify source","Select exact item / quote")</f>
        <v>Select exact item / quote</v>
      </c>
    </row>
    <row r="14" ht="42" customHeight="1">
      <c r="A14" s="2" t="str">
        <v>P1</v>
      </c>
      <c r="B14" s="2" t="str">
        <v>Resistors</v>
      </c>
      <c r="C14" s="15" t="str">
        <v>10k ohm, 1%, &gt;=0.1 W</v>
      </c>
      <c r="D14" s="15" t="str">
        <v>0603 EIA</v>
      </c>
      <c r="E14" s="12" t="n">
        <v>1000</v>
      </c>
      <c r="F14" s="12"/>
      <c r="G14" s="12"/>
      <c r="H14" s="13" t="str">
        <f>IF(AND(ISNUMBER(E14),ISNUMBER(F14),ISNUMBER(G14)),MAX(0,E14-F14-G14),"")</f>
      </c>
      <c r="I14" s="2" t="str">
        <v>pcs</v>
      </c>
      <c r="J14" s="2" t="str">
        <v>To select</v>
      </c>
      <c r="K14" s="14"/>
      <c r="L14" s="14" t="str">
        <v>Search supplier</v>
      </c>
      <c r="M14" s="15" t="str">
        <v>Select exact MPN</v>
      </c>
      <c r="N14" s="15" t="str">
        <v>Bias, pull-ups, current limiting or signal termination.</v>
      </c>
      <c r="O14" s="15" t="str">
        <v>Custom reel / continuous tape</v>
      </c>
      <c r="Q14" s="22"/>
      <c r="R14" s="23" t="str">
        <f>IF(AND(ISNUMBER(E14),ISNUMBER(Q14)),E14*Q14,"")</f>
      </c>
      <c r="S14" s="23" t="str">
        <f>IF(AND(ISNUMBER(H14),ISNUMBER(Q14)),H14*Q14,"")</f>
      </c>
      <c r="T14" s="20"/>
      <c r="U14" s="20" t="str">
        <f>IF(ISNUMBER(Q14),"Price entered; verify source","Select exact item / quote")</f>
        <v>Select exact item / quote</v>
      </c>
    </row>
    <row r="15" ht="42" customHeight="1">
      <c r="A15" s="2" t="str">
        <v>P1</v>
      </c>
      <c r="B15" s="2" t="str">
        <v>Resistors</v>
      </c>
      <c r="C15" s="15" t="str">
        <v>100k ohm, 1%, &gt;=0.1 W</v>
      </c>
      <c r="D15" s="15" t="str">
        <v>0603 EIA</v>
      </c>
      <c r="E15" s="12" t="n">
        <v>1000</v>
      </c>
      <c r="F15" s="12"/>
      <c r="G15" s="12"/>
      <c r="H15" s="13" t="str">
        <f>IF(AND(ISNUMBER(E15),ISNUMBER(F15),ISNUMBER(G15)),MAX(0,E15-F15-G15),"")</f>
      </c>
      <c r="I15" s="2" t="str">
        <v>pcs</v>
      </c>
      <c r="J15" s="2" t="str">
        <v>To select</v>
      </c>
      <c r="K15" s="14"/>
      <c r="L15" s="14" t="str">
        <v>Search supplier</v>
      </c>
      <c r="M15" s="15" t="str">
        <v>Select exact MPN</v>
      </c>
      <c r="N15" s="15" t="str">
        <v>Bias, pull-ups, current limiting or signal termination.</v>
      </c>
      <c r="O15" s="15" t="str">
        <v>Custom reel / continuous tape</v>
      </c>
      <c r="Q15" s="22"/>
      <c r="R15" s="23" t="str">
        <f>IF(AND(ISNUMBER(E15),ISNUMBER(Q15)),E15*Q15,"")</f>
      </c>
      <c r="S15" s="23" t="str">
        <f>IF(AND(ISNUMBER(H15),ISNUMBER(Q15)),H15*Q15,"")</f>
      </c>
      <c r="T15" s="20"/>
      <c r="U15" s="20" t="str">
        <f>IF(ISNUMBER(Q15),"Price entered; verify source","Select exact item / quote")</f>
        <v>Select exact item / quote</v>
      </c>
    </row>
    <row r="16" ht="42" customHeight="1">
      <c r="A16" s="2" t="str">
        <v>P1</v>
      </c>
      <c r="B16" s="2" t="str">
        <v>Resistors</v>
      </c>
      <c r="C16" s="15" t="str">
        <v>10 ohm, 1%, &gt;=0.1 W</v>
      </c>
      <c r="D16" s="15" t="str">
        <v>0603 EIA</v>
      </c>
      <c r="E16" s="12" t="n">
        <v>250</v>
      </c>
      <c r="F16" s="12"/>
      <c r="G16" s="12"/>
      <c r="H16" s="13" t="str">
        <f>IF(AND(ISNUMBER(E16),ISNUMBER(F16),ISNUMBER(G16)),MAX(0,E16-F16-G16),"")</f>
      </c>
      <c r="I16" s="2" t="str">
        <v>pcs</v>
      </c>
      <c r="J16" s="2" t="str">
        <v>To select</v>
      </c>
      <c r="K16" s="14"/>
      <c r="L16" s="14" t="str">
        <v>Search supplier</v>
      </c>
      <c r="M16" s="15" t="str">
        <v>Select exact MPN</v>
      </c>
      <c r="N16" s="15" t="str">
        <v>Bias, pull-ups, current limiting or signal termination.</v>
      </c>
      <c r="O16" s="15" t="str">
        <v>Custom reel / continuous tape</v>
      </c>
      <c r="Q16" s="22"/>
      <c r="R16" s="23" t="str">
        <f>IF(AND(ISNUMBER(E16),ISNUMBER(Q16)),E16*Q16,"")</f>
      </c>
      <c r="S16" s="23" t="str">
        <f>IF(AND(ISNUMBER(H16),ISNUMBER(Q16)),H16*Q16,"")</f>
      </c>
      <c r="T16" s="20"/>
      <c r="U16" s="20" t="str">
        <f>IF(ISNUMBER(Q16),"Price entered; verify source","Select exact item / quote")</f>
        <v>Select exact item / quote</v>
      </c>
    </row>
    <row r="17" ht="42" customHeight="1">
      <c r="A17" s="2" t="str">
        <v>P1</v>
      </c>
      <c r="B17" s="2" t="str">
        <v>Resistors</v>
      </c>
      <c r="C17" s="15" t="str">
        <v>22 ohm, 1%, &gt;=0.1 W</v>
      </c>
      <c r="D17" s="15" t="str">
        <v>0603 EIA</v>
      </c>
      <c r="E17" s="12" t="n">
        <v>250</v>
      </c>
      <c r="F17" s="12"/>
      <c r="G17" s="12"/>
      <c r="H17" s="13" t="str">
        <f>IF(AND(ISNUMBER(E17),ISNUMBER(F17),ISNUMBER(G17)),MAX(0,E17-F17-G17),"")</f>
      </c>
      <c r="I17" s="2" t="str">
        <v>pcs</v>
      </c>
      <c r="J17" s="2" t="str">
        <v>To select</v>
      </c>
      <c r="K17" s="14"/>
      <c r="L17" s="14" t="str">
        <v>Search supplier</v>
      </c>
      <c r="M17" s="15" t="str">
        <v>Select exact MPN</v>
      </c>
      <c r="N17" s="15" t="str">
        <v>Bias, pull-ups, current limiting or signal termination.</v>
      </c>
      <c r="O17" s="15" t="str">
        <v>Custom reel / continuous tape</v>
      </c>
      <c r="Q17" s="22"/>
      <c r="R17" s="23" t="str">
        <f>IF(AND(ISNUMBER(E17),ISNUMBER(Q17)),E17*Q17,"")</f>
      </c>
      <c r="S17" s="23" t="str">
        <f>IF(AND(ISNUMBER(H17),ISNUMBER(Q17)),H17*Q17,"")</f>
      </c>
      <c r="T17" s="20"/>
      <c r="U17" s="20" t="str">
        <f>IF(ISNUMBER(Q17),"Price entered; verify source","Select exact item / quote")</f>
        <v>Select exact item / quote</v>
      </c>
    </row>
    <row r="18" ht="42" customHeight="1">
      <c r="A18" s="2" t="str">
        <v>P1</v>
      </c>
      <c r="B18" s="2" t="str">
        <v>Resistors</v>
      </c>
      <c r="C18" s="15" t="str">
        <v>33 ohm, 1%, &gt;=0.1 W</v>
      </c>
      <c r="D18" s="15" t="str">
        <v>0603 EIA</v>
      </c>
      <c r="E18" s="12" t="n">
        <v>250</v>
      </c>
      <c r="F18" s="12"/>
      <c r="G18" s="12"/>
      <c r="H18" s="13" t="str">
        <f>IF(AND(ISNUMBER(E18),ISNUMBER(F18),ISNUMBER(G18)),MAX(0,E18-F18-G18),"")</f>
      </c>
      <c r="I18" s="2" t="str">
        <v>pcs</v>
      </c>
      <c r="J18" s="2" t="str">
        <v>To select</v>
      </c>
      <c r="K18" s="14"/>
      <c r="L18" s="14" t="str">
        <v>Search supplier</v>
      </c>
      <c r="M18" s="15" t="str">
        <v>Select exact MPN</v>
      </c>
      <c r="N18" s="15" t="str">
        <v>Bias, pull-ups, current limiting or signal termination.</v>
      </c>
      <c r="O18" s="15" t="str">
        <v>Custom reel / continuous tape</v>
      </c>
      <c r="Q18" s="22"/>
      <c r="R18" s="23" t="str">
        <f>IF(AND(ISNUMBER(E18),ISNUMBER(Q18)),E18*Q18,"")</f>
      </c>
      <c r="S18" s="23" t="str">
        <f>IF(AND(ISNUMBER(H18),ISNUMBER(Q18)),H18*Q18,"")</f>
      </c>
      <c r="T18" s="20"/>
      <c r="U18" s="20" t="str">
        <f>IF(ISNUMBER(Q18),"Price entered; verify source","Select exact item / quote")</f>
        <v>Select exact item / quote</v>
      </c>
    </row>
    <row r="19" ht="42" customHeight="1">
      <c r="A19" s="2" t="str">
        <v>P1</v>
      </c>
      <c r="B19" s="2" t="str">
        <v>Resistors</v>
      </c>
      <c r="C19" s="15" t="str">
        <v>47 ohm, 1%, &gt;=0.1 W</v>
      </c>
      <c r="D19" s="15" t="str">
        <v>0603 EIA</v>
      </c>
      <c r="E19" s="12" t="n">
        <v>250</v>
      </c>
      <c r="F19" s="12"/>
      <c r="G19" s="12"/>
      <c r="H19" s="13" t="str">
        <f>IF(AND(ISNUMBER(E19),ISNUMBER(F19),ISNUMBER(G19)),MAX(0,E19-F19-G19),"")</f>
      </c>
      <c r="I19" s="2" t="str">
        <v>pcs</v>
      </c>
      <c r="J19" s="2" t="str">
        <v>To select</v>
      </c>
      <c r="K19" s="14"/>
      <c r="L19" s="14" t="str">
        <v>Search supplier</v>
      </c>
      <c r="M19" s="15" t="str">
        <v>Select exact MPN</v>
      </c>
      <c r="N19" s="15" t="str">
        <v>Bias, pull-ups, current limiting or signal termination.</v>
      </c>
      <c r="O19" s="15" t="str">
        <v>Custom reel / continuous tape</v>
      </c>
      <c r="Q19" s="22"/>
      <c r="R19" s="23" t="str">
        <f>IF(AND(ISNUMBER(E19),ISNUMBER(Q19)),E19*Q19,"")</f>
      </c>
      <c r="S19" s="23" t="str">
        <f>IF(AND(ISNUMBER(H19),ISNUMBER(Q19)),H19*Q19,"")</f>
      </c>
      <c r="T19" s="20"/>
      <c r="U19" s="20" t="str">
        <f>IF(ISNUMBER(Q19),"Price entered; verify source","Select exact item / quote")</f>
        <v>Select exact item / quote</v>
      </c>
    </row>
    <row r="20" ht="42" customHeight="1">
      <c r="A20" s="2" t="str">
        <v>P1</v>
      </c>
      <c r="B20" s="2" t="str">
        <v>Resistors</v>
      </c>
      <c r="C20" s="15" t="str">
        <v>49.9 ohm, 1%, &gt;=0.1 W</v>
      </c>
      <c r="D20" s="15" t="str">
        <v>0603 EIA</v>
      </c>
      <c r="E20" s="12" t="n">
        <v>250</v>
      </c>
      <c r="F20" s="12"/>
      <c r="G20" s="12"/>
      <c r="H20" s="13" t="str">
        <f>IF(AND(ISNUMBER(E20),ISNUMBER(F20),ISNUMBER(G20)),MAX(0,E20-F20-G20),"")</f>
      </c>
      <c r="I20" s="2" t="str">
        <v>pcs</v>
      </c>
      <c r="J20" s="2" t="str">
        <v>To select</v>
      </c>
      <c r="K20" s="14"/>
      <c r="L20" s="14" t="str">
        <v>Search supplier</v>
      </c>
      <c r="M20" s="15" t="str">
        <v>Select exact MPN</v>
      </c>
      <c r="N20" s="15" t="str">
        <v>Bias, pull-ups, current limiting or signal termination.</v>
      </c>
      <c r="O20" s="15" t="str">
        <v>Custom reel / continuous tape</v>
      </c>
      <c r="Q20" s="22"/>
      <c r="R20" s="23" t="str">
        <f>IF(AND(ISNUMBER(E20),ISNUMBER(Q20)),E20*Q20,"")</f>
      </c>
      <c r="S20" s="23" t="str">
        <f>IF(AND(ISNUMBER(H20),ISNUMBER(Q20)),H20*Q20,"")</f>
      </c>
      <c r="T20" s="20"/>
      <c r="U20" s="20" t="str">
        <f>IF(ISNUMBER(Q20),"Price entered; verify source","Select exact item / quote")</f>
        <v>Select exact item / quote</v>
      </c>
    </row>
    <row r="21" ht="42" customHeight="1">
      <c r="A21" s="2" t="str">
        <v>P1</v>
      </c>
      <c r="B21" s="2" t="str">
        <v>Resistors</v>
      </c>
      <c r="C21" s="15" t="str">
        <v>220 ohm, 1%, &gt;=0.1 W</v>
      </c>
      <c r="D21" s="15" t="str">
        <v>0603 EIA</v>
      </c>
      <c r="E21" s="12" t="n">
        <v>250</v>
      </c>
      <c r="F21" s="12"/>
      <c r="G21" s="12"/>
      <c r="H21" s="13" t="str">
        <f>IF(AND(ISNUMBER(E21),ISNUMBER(F21),ISNUMBER(G21)),MAX(0,E21-F21-G21),"")</f>
      </c>
      <c r="I21" s="2" t="str">
        <v>pcs</v>
      </c>
      <c r="J21" s="2" t="str">
        <v>To select</v>
      </c>
      <c r="K21" s="14"/>
      <c r="L21" s="14" t="str">
        <v>Search supplier</v>
      </c>
      <c r="M21" s="15" t="str">
        <v>Select exact MPN</v>
      </c>
      <c r="N21" s="15" t="str">
        <v>Bias, pull-ups, current limiting or signal termination.</v>
      </c>
      <c r="O21" s="15" t="str">
        <v>Custom reel / continuous tape</v>
      </c>
      <c r="Q21" s="22"/>
      <c r="R21" s="23" t="str">
        <f>IF(AND(ISNUMBER(E21),ISNUMBER(Q21)),E21*Q21,"")</f>
      </c>
      <c r="S21" s="23" t="str">
        <f>IF(AND(ISNUMBER(H21),ISNUMBER(Q21)),H21*Q21,"")</f>
      </c>
      <c r="T21" s="20"/>
      <c r="U21" s="20" t="str">
        <f>IF(ISNUMBER(Q21),"Price entered; verify source","Select exact item / quote")</f>
        <v>Select exact item / quote</v>
      </c>
    </row>
    <row r="22" ht="42" customHeight="1">
      <c r="A22" s="2" t="str">
        <v>P1</v>
      </c>
      <c r="B22" s="2" t="str">
        <v>Resistors</v>
      </c>
      <c r="C22" s="15" t="str">
        <v>470 ohm, 1%, &gt;=0.1 W</v>
      </c>
      <c r="D22" s="15" t="str">
        <v>0603 EIA</v>
      </c>
      <c r="E22" s="12" t="n">
        <v>250</v>
      </c>
      <c r="F22" s="12"/>
      <c r="G22" s="12"/>
      <c r="H22" s="13" t="str">
        <f>IF(AND(ISNUMBER(E22),ISNUMBER(F22),ISNUMBER(G22)),MAX(0,E22-F22-G22),"")</f>
      </c>
      <c r="I22" s="2" t="str">
        <v>pcs</v>
      </c>
      <c r="J22" s="2" t="str">
        <v>To select</v>
      </c>
      <c r="K22" s="14"/>
      <c r="L22" s="14" t="str">
        <v>Search supplier</v>
      </c>
      <c r="M22" s="15" t="str">
        <v>Select exact MPN</v>
      </c>
      <c r="N22" s="15" t="str">
        <v>Bias, pull-ups, current limiting or signal termination.</v>
      </c>
      <c r="O22" s="15" t="str">
        <v>Custom reel / continuous tape</v>
      </c>
      <c r="Q22" s="22"/>
      <c r="R22" s="23" t="str">
        <f>IF(AND(ISNUMBER(E22),ISNUMBER(Q22)),E22*Q22,"")</f>
      </c>
      <c r="S22" s="23" t="str">
        <f>IF(AND(ISNUMBER(H22),ISNUMBER(Q22)),H22*Q22,"")</f>
      </c>
      <c r="T22" s="20"/>
      <c r="U22" s="20" t="str">
        <f>IF(ISNUMBER(Q22),"Price entered; verify source","Select exact item / quote")</f>
        <v>Select exact item / quote</v>
      </c>
    </row>
    <row r="23" ht="42" customHeight="1">
      <c r="A23" s="2" t="str">
        <v>P1</v>
      </c>
      <c r="B23" s="2" t="str">
        <v>Resistors</v>
      </c>
      <c r="C23" s="15" t="str">
        <v>2.2k ohm, 1%, &gt;=0.1 W</v>
      </c>
      <c r="D23" s="15" t="str">
        <v>0603 EIA</v>
      </c>
      <c r="E23" s="12" t="n">
        <v>250</v>
      </c>
      <c r="F23" s="12"/>
      <c r="G23" s="12"/>
      <c r="H23" s="13" t="str">
        <f>IF(AND(ISNUMBER(E23),ISNUMBER(F23),ISNUMBER(G23)),MAX(0,E23-F23-G23),"")</f>
      </c>
      <c r="I23" s="2" t="str">
        <v>pcs</v>
      </c>
      <c r="J23" s="2" t="str">
        <v>To select</v>
      </c>
      <c r="K23" s="14"/>
      <c r="L23" s="14" t="str">
        <v>Search supplier</v>
      </c>
      <c r="M23" s="15" t="str">
        <v>Select exact MPN</v>
      </c>
      <c r="N23" s="15" t="str">
        <v>Bias, pull-ups, current limiting or signal termination.</v>
      </c>
      <c r="O23" s="15" t="str">
        <v>Custom reel / continuous tape</v>
      </c>
      <c r="Q23" s="22"/>
      <c r="R23" s="23" t="str">
        <f>IF(AND(ISNUMBER(E23),ISNUMBER(Q23)),E23*Q23,"")</f>
      </c>
      <c r="S23" s="23" t="str">
        <f>IF(AND(ISNUMBER(H23),ISNUMBER(Q23)),H23*Q23,"")</f>
      </c>
      <c r="T23" s="20"/>
      <c r="U23" s="20" t="str">
        <f>IF(ISNUMBER(Q23),"Price entered; verify source","Select exact item / quote")</f>
        <v>Select exact item / quote</v>
      </c>
    </row>
    <row r="24" ht="42" customHeight="1">
      <c r="A24" s="2" t="str">
        <v>P1</v>
      </c>
      <c r="B24" s="2" t="str">
        <v>Resistors</v>
      </c>
      <c r="C24" s="15" t="str">
        <v>3.3k ohm, 1%, &gt;=0.1 W</v>
      </c>
      <c r="D24" s="15" t="str">
        <v>0603 EIA</v>
      </c>
      <c r="E24" s="12" t="n">
        <v>250</v>
      </c>
      <c r="F24" s="12"/>
      <c r="G24" s="12"/>
      <c r="H24" s="13" t="str">
        <f>IF(AND(ISNUMBER(E24),ISNUMBER(F24),ISNUMBER(G24)),MAX(0,E24-F24-G24),"")</f>
      </c>
      <c r="I24" s="2" t="str">
        <v>pcs</v>
      </c>
      <c r="J24" s="2" t="str">
        <v>To select</v>
      </c>
      <c r="K24" s="14"/>
      <c r="L24" s="14" t="str">
        <v>Search supplier</v>
      </c>
      <c r="M24" s="15" t="str">
        <v>Select exact MPN</v>
      </c>
      <c r="N24" s="15" t="str">
        <v>Bias, pull-ups, current limiting or signal termination.</v>
      </c>
      <c r="O24" s="15" t="str">
        <v>Custom reel / continuous tape</v>
      </c>
      <c r="Q24" s="22"/>
      <c r="R24" s="23" t="str">
        <f>IF(AND(ISNUMBER(E24),ISNUMBER(Q24)),E24*Q24,"")</f>
      </c>
      <c r="S24" s="23" t="str">
        <f>IF(AND(ISNUMBER(H24),ISNUMBER(Q24)),H24*Q24,"")</f>
      </c>
      <c r="T24" s="20"/>
      <c r="U24" s="20" t="str">
        <f>IF(ISNUMBER(Q24),"Price entered; verify source","Select exact item / quote")</f>
        <v>Select exact item / quote</v>
      </c>
    </row>
    <row r="25" ht="42" customHeight="1">
      <c r="A25" s="2" t="str">
        <v>P1</v>
      </c>
      <c r="B25" s="2" t="str">
        <v>Resistors</v>
      </c>
      <c r="C25" s="15" t="str">
        <v>6.8k ohm, 1%, &gt;=0.1 W</v>
      </c>
      <c r="D25" s="15" t="str">
        <v>0603 EIA</v>
      </c>
      <c r="E25" s="12" t="n">
        <v>250</v>
      </c>
      <c r="F25" s="12"/>
      <c r="G25" s="12"/>
      <c r="H25" s="13" t="str">
        <f>IF(AND(ISNUMBER(E25),ISNUMBER(F25),ISNUMBER(G25)),MAX(0,E25-F25-G25),"")</f>
      </c>
      <c r="I25" s="2" t="str">
        <v>pcs</v>
      </c>
      <c r="J25" s="2" t="str">
        <v>To select</v>
      </c>
      <c r="K25" s="14"/>
      <c r="L25" s="14" t="str">
        <v>Search supplier</v>
      </c>
      <c r="M25" s="15" t="str">
        <v>Select exact MPN</v>
      </c>
      <c r="N25" s="15" t="str">
        <v>Bias, pull-ups, current limiting or signal termination.</v>
      </c>
      <c r="O25" s="15" t="str">
        <v>Custom reel / continuous tape</v>
      </c>
      <c r="Q25" s="22"/>
      <c r="R25" s="23" t="str">
        <f>IF(AND(ISNUMBER(E25),ISNUMBER(Q25)),E25*Q25,"")</f>
      </c>
      <c r="S25" s="23" t="str">
        <f>IF(AND(ISNUMBER(H25),ISNUMBER(Q25)),H25*Q25,"")</f>
      </c>
      <c r="T25" s="20"/>
      <c r="U25" s="20" t="str">
        <f>IF(ISNUMBER(Q25),"Price entered; verify source","Select exact item / quote")</f>
        <v>Select exact item / quote</v>
      </c>
    </row>
    <row r="26" ht="42" customHeight="1">
      <c r="A26" s="2" t="str">
        <v>P1</v>
      </c>
      <c r="B26" s="2" t="str">
        <v>Resistors</v>
      </c>
      <c r="C26" s="15" t="str">
        <v>22k ohm, 1%, &gt;=0.1 W</v>
      </c>
      <c r="D26" s="15" t="str">
        <v>0603 EIA</v>
      </c>
      <c r="E26" s="12" t="n">
        <v>250</v>
      </c>
      <c r="F26" s="12"/>
      <c r="G26" s="12"/>
      <c r="H26" s="13" t="str">
        <f>IF(AND(ISNUMBER(E26),ISNUMBER(F26),ISNUMBER(G26)),MAX(0,E26-F26-G26),"")</f>
      </c>
      <c r="I26" s="2" t="str">
        <v>pcs</v>
      </c>
      <c r="J26" s="2" t="str">
        <v>To select</v>
      </c>
      <c r="K26" s="14"/>
      <c r="L26" s="14" t="str">
        <v>Search supplier</v>
      </c>
      <c r="M26" s="15" t="str">
        <v>Select exact MPN</v>
      </c>
      <c r="N26" s="15" t="str">
        <v>Bias, pull-ups, current limiting or signal termination.</v>
      </c>
      <c r="O26" s="15" t="str">
        <v>Custom reel / continuous tape</v>
      </c>
      <c r="Q26" s="22"/>
      <c r="R26" s="23" t="str">
        <f>IF(AND(ISNUMBER(E26),ISNUMBER(Q26)),E26*Q26,"")</f>
      </c>
      <c r="S26" s="23" t="str">
        <f>IF(AND(ISNUMBER(H26),ISNUMBER(Q26)),H26*Q26,"")</f>
      </c>
      <c r="T26" s="20"/>
      <c r="U26" s="20" t="str">
        <f>IF(ISNUMBER(Q26),"Price entered; verify source","Select exact item / quote")</f>
        <v>Select exact item / quote</v>
      </c>
    </row>
    <row r="27" ht="42" customHeight="1">
      <c r="A27" s="2" t="str">
        <v>P1</v>
      </c>
      <c r="B27" s="2" t="str">
        <v>Resistors</v>
      </c>
      <c r="C27" s="15" t="str">
        <v>47k ohm, 1%, &gt;=0.1 W</v>
      </c>
      <c r="D27" s="15" t="str">
        <v>0603 EIA</v>
      </c>
      <c r="E27" s="12" t="n">
        <v>250</v>
      </c>
      <c r="F27" s="12"/>
      <c r="G27" s="12"/>
      <c r="H27" s="13" t="str">
        <f>IF(AND(ISNUMBER(E27),ISNUMBER(F27),ISNUMBER(G27)),MAX(0,E27-F27-G27),"")</f>
      </c>
      <c r="I27" s="2" t="str">
        <v>pcs</v>
      </c>
      <c r="J27" s="2" t="str">
        <v>To select</v>
      </c>
      <c r="K27" s="14"/>
      <c r="L27" s="14" t="str">
        <v>Search supplier</v>
      </c>
      <c r="M27" s="15" t="str">
        <v>Select exact MPN</v>
      </c>
      <c r="N27" s="15" t="str">
        <v>Bias, pull-ups, current limiting or signal termination.</v>
      </c>
      <c r="O27" s="15" t="str">
        <v>Custom reel / continuous tape</v>
      </c>
      <c r="Q27" s="22"/>
      <c r="R27" s="23" t="str">
        <f>IF(AND(ISNUMBER(E27),ISNUMBER(Q27)),E27*Q27,"")</f>
      </c>
      <c r="S27" s="23" t="str">
        <f>IF(AND(ISNUMBER(H27),ISNUMBER(Q27)),H27*Q27,"")</f>
      </c>
      <c r="T27" s="20"/>
      <c r="U27" s="20" t="str">
        <f>IF(ISNUMBER(Q27),"Price entered; verify source","Select exact item / quote")</f>
        <v>Select exact item / quote</v>
      </c>
    </row>
    <row r="28" ht="42" customHeight="1">
      <c r="A28" s="2" t="str">
        <v>P1</v>
      </c>
      <c r="B28" s="2" t="str">
        <v>Resistors</v>
      </c>
      <c r="C28" s="15" t="str">
        <v>1M ohm, 1%, &gt;=0.1 W</v>
      </c>
      <c r="D28" s="15" t="str">
        <v>0603 EIA</v>
      </c>
      <c r="E28" s="12" t="n">
        <v>250</v>
      </c>
      <c r="F28" s="12"/>
      <c r="G28" s="12"/>
      <c r="H28" s="13" t="str">
        <f>IF(AND(ISNUMBER(E28),ISNUMBER(F28),ISNUMBER(G28)),MAX(0,E28-F28-G28),"")</f>
      </c>
      <c r="I28" s="2" t="str">
        <v>pcs</v>
      </c>
      <c r="J28" s="2" t="str">
        <v>To select</v>
      </c>
      <c r="K28" s="14"/>
      <c r="L28" s="14" t="str">
        <v>Search supplier</v>
      </c>
      <c r="M28" s="15" t="str">
        <v>Select exact MPN</v>
      </c>
      <c r="N28" s="15" t="str">
        <v>Bias, pull-ups, current limiting or signal termination.</v>
      </c>
      <c r="O28" s="15" t="str">
        <v>Custom reel / continuous tape</v>
      </c>
      <c r="Q28" s="22"/>
      <c r="R28" s="23" t="str">
        <f>IF(AND(ISNUMBER(E28),ISNUMBER(Q28)),E28*Q28,"")</f>
      </c>
      <c r="S28" s="23" t="str">
        <f>IF(AND(ISNUMBER(H28),ISNUMBER(Q28)),H28*Q28,"")</f>
      </c>
      <c r="T28" s="20"/>
      <c r="U28" s="20" t="str">
        <f>IF(ISNUMBER(Q28),"Price entered; verify source","Select exact item / quote")</f>
        <v>Select exact item / quote</v>
      </c>
    </row>
    <row r="29" ht="42" customHeight="1">
      <c r="A29" s="2" t="str">
        <v>P2</v>
      </c>
      <c r="B29" s="2" t="str">
        <v>Resistors</v>
      </c>
      <c r="C29" s="15" t="str">
        <v>0 ohm jumper</v>
      </c>
      <c r="D29" s="15" t="str">
        <v>0402 EIA</v>
      </c>
      <c r="E29" s="12" t="n">
        <v>500</v>
      </c>
      <c r="F29" s="12"/>
      <c r="G29" s="12"/>
      <c r="H29" s="13" t="str">
        <f>IF(AND(ISNUMBER(E29),ISNUMBER(F29),ISNUMBER(G29)),MAX(0,E29-F29-G29),"")</f>
      </c>
      <c r="I29" s="2" t="str">
        <v>pcs</v>
      </c>
      <c r="J29" s="2" t="str">
        <v>To select</v>
      </c>
      <c r="K29" s="14"/>
      <c r="L29" s="14" t="str">
        <v>Search supplier</v>
      </c>
      <c r="M29" s="15" t="str">
        <v>Select exact MPN</v>
      </c>
      <c r="N29" s="15" t="str">
        <v>Compact board stock; confirm machine can place 0402.</v>
      </c>
      <c r="O29" s="15" t="str">
        <v>Custom reel / continuous tape</v>
      </c>
      <c r="Q29" s="22"/>
      <c r="R29" s="23" t="str">
        <f>IF(AND(ISNUMBER(E29),ISNUMBER(Q29)),E29*Q29,"")</f>
      </c>
      <c r="S29" s="23" t="str">
        <f>IF(AND(ISNUMBER(H29),ISNUMBER(Q29)),H29*Q29,"")</f>
      </c>
      <c r="T29" s="20"/>
      <c r="U29" s="20" t="str">
        <f>IF(ISNUMBER(Q29),"Price entered; verify source","Select exact item / quote")</f>
        <v>Select exact item / quote</v>
      </c>
    </row>
    <row r="30" ht="42" customHeight="1">
      <c r="A30" s="2" t="str">
        <v>P2</v>
      </c>
      <c r="B30" s="2" t="str">
        <v>Resistors</v>
      </c>
      <c r="C30" s="15" t="str">
        <v>1k ohm, 1%, &gt;=0.0625 W</v>
      </c>
      <c r="D30" s="15" t="str">
        <v>0402 EIA</v>
      </c>
      <c r="E30" s="12" t="n">
        <v>500</v>
      </c>
      <c r="F30" s="12"/>
      <c r="G30" s="12"/>
      <c r="H30" s="13" t="str">
        <f>IF(AND(ISNUMBER(E30),ISNUMBER(F30),ISNUMBER(G30)),MAX(0,E30-F30-G30),"")</f>
      </c>
      <c r="I30" s="2" t="str">
        <v>pcs</v>
      </c>
      <c r="J30" s="2" t="str">
        <v>To select</v>
      </c>
      <c r="K30" s="14"/>
      <c r="L30" s="14" t="str">
        <v>Search supplier</v>
      </c>
      <c r="M30" s="15" t="str">
        <v>Select exact MPN</v>
      </c>
      <c r="N30" s="15" t="str">
        <v>Compact board stock; confirm machine can place 0402.</v>
      </c>
      <c r="O30" s="15" t="str">
        <v>Custom reel / continuous tape</v>
      </c>
      <c r="Q30" s="22"/>
      <c r="R30" s="23" t="str">
        <f>IF(AND(ISNUMBER(E30),ISNUMBER(Q30)),E30*Q30,"")</f>
      </c>
      <c r="S30" s="23" t="str">
        <f>IF(AND(ISNUMBER(H30),ISNUMBER(Q30)),H30*Q30,"")</f>
      </c>
      <c r="T30" s="20"/>
      <c r="U30" s="20" t="str">
        <f>IF(ISNUMBER(Q30),"Price entered; verify source","Select exact item / quote")</f>
        <v>Select exact item / quote</v>
      </c>
    </row>
    <row r="31" ht="42" customHeight="1">
      <c r="A31" s="2" t="str">
        <v>P2</v>
      </c>
      <c r="B31" s="2" t="str">
        <v>Resistors</v>
      </c>
      <c r="C31" s="15" t="str">
        <v>4.7k ohm, 1%, &gt;=0.0625 W</v>
      </c>
      <c r="D31" s="15" t="str">
        <v>0402 EIA</v>
      </c>
      <c r="E31" s="12" t="n">
        <v>500</v>
      </c>
      <c r="F31" s="12"/>
      <c r="G31" s="12"/>
      <c r="H31" s="13" t="str">
        <f>IF(AND(ISNUMBER(E31),ISNUMBER(F31),ISNUMBER(G31)),MAX(0,E31-F31-G31),"")</f>
      </c>
      <c r="I31" s="2" t="str">
        <v>pcs</v>
      </c>
      <c r="J31" s="2" t="str">
        <v>To select</v>
      </c>
      <c r="K31" s="14"/>
      <c r="L31" s="14" t="str">
        <v>Search supplier</v>
      </c>
      <c r="M31" s="15" t="str">
        <v>Select exact MPN</v>
      </c>
      <c r="N31" s="15" t="str">
        <v>Compact board stock; confirm machine can place 0402.</v>
      </c>
      <c r="O31" s="15" t="str">
        <v>Custom reel / continuous tape</v>
      </c>
      <c r="Q31" s="22"/>
      <c r="R31" s="23" t="str">
        <f>IF(AND(ISNUMBER(E31),ISNUMBER(Q31)),E31*Q31,"")</f>
      </c>
      <c r="S31" s="23" t="str">
        <f>IF(AND(ISNUMBER(H31),ISNUMBER(Q31)),H31*Q31,"")</f>
      </c>
      <c r="T31" s="20"/>
      <c r="U31" s="20" t="str">
        <f>IF(ISNUMBER(Q31),"Price entered; verify source","Select exact item / quote")</f>
        <v>Select exact item / quote</v>
      </c>
    </row>
    <row r="32" ht="42" customHeight="1">
      <c r="A32" s="2" t="str">
        <v>P2</v>
      </c>
      <c r="B32" s="2" t="str">
        <v>Resistors</v>
      </c>
      <c r="C32" s="15" t="str">
        <v>10k ohm, 1%, &gt;=0.0625 W</v>
      </c>
      <c r="D32" s="15" t="str">
        <v>0402 EIA</v>
      </c>
      <c r="E32" s="12" t="n">
        <v>500</v>
      </c>
      <c r="F32" s="12"/>
      <c r="G32" s="12"/>
      <c r="H32" s="13" t="str">
        <f>IF(AND(ISNUMBER(E32),ISNUMBER(F32),ISNUMBER(G32)),MAX(0,E32-F32-G32),"")</f>
      </c>
      <c r="I32" s="2" t="str">
        <v>pcs</v>
      </c>
      <c r="J32" s="2" t="str">
        <v>To select</v>
      </c>
      <c r="K32" s="14"/>
      <c r="L32" s="14" t="str">
        <v>Search supplier</v>
      </c>
      <c r="M32" s="15" t="str">
        <v>Select exact MPN</v>
      </c>
      <c r="N32" s="15" t="str">
        <v>Compact board stock; confirm machine can place 0402.</v>
      </c>
      <c r="O32" s="15" t="str">
        <v>Custom reel / continuous tape</v>
      </c>
      <c r="Q32" s="22"/>
      <c r="R32" s="23" t="str">
        <f>IF(AND(ISNUMBER(E32),ISNUMBER(Q32)),E32*Q32,"")</f>
      </c>
      <c r="S32" s="23" t="str">
        <f>IF(AND(ISNUMBER(H32),ISNUMBER(Q32)),H32*Q32,"")</f>
      </c>
      <c r="T32" s="20"/>
      <c r="U32" s="20" t="str">
        <f>IF(ISNUMBER(Q32),"Price entered; verify source","Select exact item / quote")</f>
        <v>Select exact item / quote</v>
      </c>
    </row>
    <row r="33" ht="42" customHeight="1">
      <c r="A33" s="2" t="str">
        <v>P2</v>
      </c>
      <c r="B33" s="2" t="str">
        <v>Resistors</v>
      </c>
      <c r="C33" s="15" t="str">
        <v>100k ohm, 1%, &gt;=0.0625 W</v>
      </c>
      <c r="D33" s="15" t="str">
        <v>0402 EIA</v>
      </c>
      <c r="E33" s="12" t="n">
        <v>500</v>
      </c>
      <c r="F33" s="12"/>
      <c r="G33" s="12"/>
      <c r="H33" s="13" t="str">
        <f>IF(AND(ISNUMBER(E33),ISNUMBER(F33),ISNUMBER(G33)),MAX(0,E33-F33-G33),"")</f>
      </c>
      <c r="I33" s="2" t="str">
        <v>pcs</v>
      </c>
      <c r="J33" s="2" t="str">
        <v>To select</v>
      </c>
      <c r="K33" s="14"/>
      <c r="L33" s="14" t="str">
        <v>Search supplier</v>
      </c>
      <c r="M33" s="15" t="str">
        <v>Select exact MPN</v>
      </c>
      <c r="N33" s="15" t="str">
        <v>Compact board stock; confirm machine can place 0402.</v>
      </c>
      <c r="O33" s="15" t="str">
        <v>Custom reel / continuous tape</v>
      </c>
      <c r="Q33" s="22"/>
      <c r="R33" s="23" t="str">
        <f>IF(AND(ISNUMBER(E33),ISNUMBER(Q33)),E33*Q33,"")</f>
      </c>
      <c r="S33" s="23" t="str">
        <f>IF(AND(ISNUMBER(H33),ISNUMBER(Q33)),H33*Q33,"")</f>
      </c>
      <c r="T33" s="20"/>
      <c r="U33" s="20" t="str">
        <f>IF(ISNUMBER(Q33),"Price entered; verify source","Select exact item / quote")</f>
        <v>Select exact item / quote</v>
      </c>
    </row>
    <row r="34" ht="42" customHeight="1">
      <c r="A34" s="2" t="str">
        <v>P1</v>
      </c>
      <c r="B34" s="2" t="str">
        <v>Capacitors</v>
      </c>
      <c r="C34" s="15" t="str">
        <v>100 nF X7R 25 V 10%</v>
      </c>
      <c r="D34" s="15" t="str">
        <v>0603 EIA</v>
      </c>
      <c r="E34" s="12" t="n">
        <v>2000</v>
      </c>
      <c r="F34" s="12"/>
      <c r="G34" s="12"/>
      <c r="H34" s="13" t="str">
        <f>IF(AND(ISNUMBER(E34),ISNUMBER(F34),ISNUMBER(G34)),MAX(0,E34-F34-G34),"")</f>
      </c>
      <c r="I34" s="2" t="str">
        <v>pcs</v>
      </c>
      <c r="J34" s="2" t="str">
        <v>To select</v>
      </c>
      <c r="K34" s="14"/>
      <c r="L34" s="14" t="str">
        <v>Search supplier</v>
      </c>
      <c r="M34" s="15" t="str">
        <v>Select exact MPN</v>
      </c>
      <c r="N34" s="15" t="str">
        <v>Decoupling/filtering; check effective capacitance at working voltage.</v>
      </c>
      <c r="O34" s="15" t="str">
        <v>Custom reel / continuous tape</v>
      </c>
      <c r="Q34" s="22"/>
      <c r="R34" s="23" t="str">
        <f>IF(AND(ISNUMBER(E34),ISNUMBER(Q34)),E34*Q34,"")</f>
      </c>
      <c r="S34" s="23" t="str">
        <f>IF(AND(ISNUMBER(H34),ISNUMBER(Q34)),H34*Q34,"")</f>
      </c>
      <c r="T34" s="20"/>
      <c r="U34" s="20" t="str">
        <f>IF(ISNUMBER(Q34),"Price entered; verify source","Select exact item / quote")</f>
        <v>Select exact item / quote</v>
      </c>
    </row>
    <row r="35" ht="42" customHeight="1">
      <c r="A35" s="2" t="str">
        <v>P1</v>
      </c>
      <c r="B35" s="2" t="str">
        <v>Capacitors</v>
      </c>
      <c r="C35" s="15" t="str">
        <v>1 uF X7R 16 V 10%</v>
      </c>
      <c r="D35" s="15" t="str">
        <v>0603 EIA</v>
      </c>
      <c r="E35" s="12" t="n">
        <v>1000</v>
      </c>
      <c r="F35" s="12"/>
      <c r="G35" s="12"/>
      <c r="H35" s="13" t="str">
        <f>IF(AND(ISNUMBER(E35),ISNUMBER(F35),ISNUMBER(G35)),MAX(0,E35-F35-G35),"")</f>
      </c>
      <c r="I35" s="2" t="str">
        <v>pcs</v>
      </c>
      <c r="J35" s="2" t="str">
        <v>To select</v>
      </c>
      <c r="K35" s="14"/>
      <c r="L35" s="14" t="str">
        <v>Search supplier</v>
      </c>
      <c r="M35" s="15" t="str">
        <v>Select exact MPN</v>
      </c>
      <c r="N35" s="15" t="str">
        <v>Decoupling/filtering; check effective capacitance at working voltage.</v>
      </c>
      <c r="O35" s="15" t="str">
        <v>Custom reel / continuous tape</v>
      </c>
      <c r="Q35" s="22"/>
      <c r="R35" s="23" t="str">
        <f>IF(AND(ISNUMBER(E35),ISNUMBER(Q35)),E35*Q35,"")</f>
      </c>
      <c r="S35" s="23" t="str">
        <f>IF(AND(ISNUMBER(H35),ISNUMBER(Q35)),H35*Q35,"")</f>
      </c>
      <c r="T35" s="20"/>
      <c r="U35" s="20" t="str">
        <f>IF(ISNUMBER(Q35),"Price entered; verify source","Select exact item / quote")</f>
        <v>Select exact item / quote</v>
      </c>
    </row>
    <row r="36" ht="42" customHeight="1">
      <c r="A36" s="2" t="str">
        <v>P1</v>
      </c>
      <c r="B36" s="2" t="str">
        <v>Capacitors</v>
      </c>
      <c r="C36" s="15" t="str">
        <v>1 nF X7R 50 V 10%</v>
      </c>
      <c r="D36" s="15" t="str">
        <v>0603 EIA</v>
      </c>
      <c r="E36" s="12" t="n">
        <v>250</v>
      </c>
      <c r="F36" s="12"/>
      <c r="G36" s="12"/>
      <c r="H36" s="13" t="str">
        <f>IF(AND(ISNUMBER(E36),ISNUMBER(F36),ISNUMBER(G36)),MAX(0,E36-F36-G36),"")</f>
      </c>
      <c r="I36" s="2" t="str">
        <v>pcs</v>
      </c>
      <c r="J36" s="2" t="str">
        <v>To select</v>
      </c>
      <c r="K36" s="14"/>
      <c r="L36" s="14" t="str">
        <v>Search supplier</v>
      </c>
      <c r="M36" s="15" t="str">
        <v>Select exact MPN</v>
      </c>
      <c r="N36" s="15" t="str">
        <v>Decoupling/filtering; check effective capacitance at working voltage.</v>
      </c>
      <c r="O36" s="15" t="str">
        <v>Custom reel / continuous tape</v>
      </c>
      <c r="Q36" s="22"/>
      <c r="R36" s="23" t="str">
        <f>IF(AND(ISNUMBER(E36),ISNUMBER(Q36)),E36*Q36,"")</f>
      </c>
      <c r="S36" s="23" t="str">
        <f>IF(AND(ISNUMBER(H36),ISNUMBER(Q36)),H36*Q36,"")</f>
      </c>
      <c r="T36" s="20"/>
      <c r="U36" s="20" t="str">
        <f>IF(ISNUMBER(Q36),"Price entered; verify source","Select exact item / quote")</f>
        <v>Select exact item / quote</v>
      </c>
    </row>
    <row r="37" ht="42" customHeight="1">
      <c r="A37" s="2" t="str">
        <v>P1</v>
      </c>
      <c r="B37" s="2" t="str">
        <v>Capacitors</v>
      </c>
      <c r="C37" s="15" t="str">
        <v>10 nF X7R 50 V 10%</v>
      </c>
      <c r="D37" s="15" t="str">
        <v>0603 EIA</v>
      </c>
      <c r="E37" s="12" t="n">
        <v>250</v>
      </c>
      <c r="F37" s="12"/>
      <c r="G37" s="12"/>
      <c r="H37" s="13" t="str">
        <f>IF(AND(ISNUMBER(E37),ISNUMBER(F37),ISNUMBER(G37)),MAX(0,E37-F37-G37),"")</f>
      </c>
      <c r="I37" s="2" t="str">
        <v>pcs</v>
      </c>
      <c r="J37" s="2" t="str">
        <v>To select</v>
      </c>
      <c r="K37" s="14"/>
      <c r="L37" s="14" t="str">
        <v>Search supplier</v>
      </c>
      <c r="M37" s="15" t="str">
        <v>Select exact MPN</v>
      </c>
      <c r="N37" s="15" t="str">
        <v>Decoupling/filtering; check effective capacitance at working voltage.</v>
      </c>
      <c r="O37" s="15" t="str">
        <v>Custom reel / continuous tape</v>
      </c>
      <c r="Q37" s="22"/>
      <c r="R37" s="23" t="str">
        <f>IF(AND(ISNUMBER(E37),ISNUMBER(Q37)),E37*Q37,"")</f>
      </c>
      <c r="S37" s="23" t="str">
        <f>IF(AND(ISNUMBER(H37),ISNUMBER(Q37)),H37*Q37,"")</f>
      </c>
      <c r="T37" s="20"/>
      <c r="U37" s="20" t="str">
        <f>IF(ISNUMBER(Q37),"Price entered; verify source","Select exact item / quote")</f>
        <v>Select exact item / quote</v>
      </c>
    </row>
    <row r="38" ht="42" customHeight="1">
      <c r="A38" s="2" t="str">
        <v>P1</v>
      </c>
      <c r="B38" s="2" t="str">
        <v>Capacitors</v>
      </c>
      <c r="C38" s="15" t="str">
        <v>4.7 uF X7R 16 V 10%</v>
      </c>
      <c r="D38" s="15" t="str">
        <v>0805 EIA</v>
      </c>
      <c r="E38" s="12" t="n">
        <v>250</v>
      </c>
      <c r="F38" s="12"/>
      <c r="G38" s="12"/>
      <c r="H38" s="13" t="str">
        <f>IF(AND(ISNUMBER(E38),ISNUMBER(F38),ISNUMBER(G38)),MAX(0,E38-F38-G38),"")</f>
      </c>
      <c r="I38" s="2" t="str">
        <v>pcs</v>
      </c>
      <c r="J38" s="2" t="str">
        <v>To select</v>
      </c>
      <c r="K38" s="14"/>
      <c r="L38" s="14" t="str">
        <v>Search supplier</v>
      </c>
      <c r="M38" s="15" t="str">
        <v>Select exact MPN</v>
      </c>
      <c r="N38" s="15" t="str">
        <v>Decoupling/filtering; check effective capacitance at working voltage.</v>
      </c>
      <c r="O38" s="15" t="str">
        <v>Custom reel / continuous tape</v>
      </c>
      <c r="Q38" s="22"/>
      <c r="R38" s="23" t="str">
        <f>IF(AND(ISNUMBER(E38),ISNUMBER(Q38)),E38*Q38,"")</f>
      </c>
      <c r="S38" s="23" t="str">
        <f>IF(AND(ISNUMBER(H38),ISNUMBER(Q38)),H38*Q38,"")</f>
      </c>
      <c r="T38" s="20"/>
      <c r="U38" s="20" t="str">
        <f>IF(ISNUMBER(Q38),"Price entered; verify source","Select exact item / quote")</f>
        <v>Select exact item / quote</v>
      </c>
    </row>
    <row r="39" ht="42" customHeight="1">
      <c r="A39" s="2" t="str">
        <v>P1</v>
      </c>
      <c r="B39" s="2" t="str">
        <v>Capacitors</v>
      </c>
      <c r="C39" s="15" t="str">
        <v>10 uF X7R 16 V 10%</v>
      </c>
      <c r="D39" s="15" t="str">
        <v>0805 EIA</v>
      </c>
      <c r="E39" s="12" t="n">
        <v>250</v>
      </c>
      <c r="F39" s="12"/>
      <c r="G39" s="12"/>
      <c r="H39" s="13" t="str">
        <f>IF(AND(ISNUMBER(E39),ISNUMBER(F39),ISNUMBER(G39)),MAX(0,E39-F39-G39),"")</f>
      </c>
      <c r="I39" s="2" t="str">
        <v>pcs</v>
      </c>
      <c r="J39" s="2" t="str">
        <v>To select</v>
      </c>
      <c r="K39" s="14"/>
      <c r="L39" s="14" t="str">
        <v>Search supplier</v>
      </c>
      <c r="M39" s="15" t="str">
        <v>Select exact MPN</v>
      </c>
      <c r="N39" s="15" t="str">
        <v>Decoupling/filtering; check effective capacitance at working voltage.</v>
      </c>
      <c r="O39" s="15" t="str">
        <v>Custom reel / continuous tape</v>
      </c>
      <c r="Q39" s="22"/>
      <c r="R39" s="23" t="str">
        <f>IF(AND(ISNUMBER(E39),ISNUMBER(Q39)),E39*Q39,"")</f>
      </c>
      <c r="S39" s="23" t="str">
        <f>IF(AND(ISNUMBER(H39),ISNUMBER(Q39)),H39*Q39,"")</f>
      </c>
      <c r="T39" s="20"/>
      <c r="U39" s="20" t="str">
        <f>IF(ISNUMBER(Q39),"Price entered; verify source","Select exact item / quote")</f>
        <v>Select exact item / quote</v>
      </c>
    </row>
    <row r="40" ht="42" customHeight="1">
      <c r="A40" s="2" t="str">
        <v>P2</v>
      </c>
      <c r="B40" s="2" t="str">
        <v>Capacitors</v>
      </c>
      <c r="C40" s="15" t="str">
        <v>22 pF C0G 50 V 5%</v>
      </c>
      <c r="D40" s="15" t="str">
        <v>0603 EIA</v>
      </c>
      <c r="E40" s="12" t="n">
        <v>100</v>
      </c>
      <c r="F40" s="12"/>
      <c r="G40" s="12"/>
      <c r="H40" s="13" t="str">
        <f>IF(AND(ISNUMBER(E40),ISNUMBER(F40),ISNUMBER(G40)),MAX(0,E40-F40-G40),"")</f>
      </c>
      <c r="I40" s="2" t="str">
        <v>pcs</v>
      </c>
      <c r="J40" s="2" t="str">
        <v>To select</v>
      </c>
      <c r="K40" s="14"/>
      <c r="L40" s="14" t="str">
        <v>Search supplier</v>
      </c>
      <c r="M40" s="15" t="str">
        <v>Select exact MPN</v>
      </c>
      <c r="N40" s="15" t="str">
        <v>Stable signal/timing capacitance; crystal loading is circuit-specific.</v>
      </c>
      <c r="O40" s="15" t="str">
        <v>Custom reel / continuous tape</v>
      </c>
      <c r="Q40" s="22"/>
      <c r="R40" s="23" t="str">
        <f>IF(AND(ISNUMBER(E40),ISNUMBER(Q40)),E40*Q40,"")</f>
      </c>
      <c r="S40" s="23" t="str">
        <f>IF(AND(ISNUMBER(H40),ISNUMBER(Q40)),H40*Q40,"")</f>
      </c>
      <c r="T40" s="20"/>
      <c r="U40" s="20" t="str">
        <f>IF(ISNUMBER(Q40),"Price entered; verify source","Select exact item / quote")</f>
        <v>Select exact item / quote</v>
      </c>
    </row>
    <row r="41" ht="42" customHeight="1">
      <c r="A41" s="2" t="str">
        <v>P2</v>
      </c>
      <c r="B41" s="2" t="str">
        <v>Capacitors</v>
      </c>
      <c r="C41" s="15" t="str">
        <v>47 pF C0G 50 V 5%</v>
      </c>
      <c r="D41" s="15" t="str">
        <v>0603 EIA</v>
      </c>
      <c r="E41" s="12" t="n">
        <v>100</v>
      </c>
      <c r="F41" s="12"/>
      <c r="G41" s="12"/>
      <c r="H41" s="13" t="str">
        <f>IF(AND(ISNUMBER(E41),ISNUMBER(F41),ISNUMBER(G41)),MAX(0,E41-F41-G41),"")</f>
      </c>
      <c r="I41" s="2" t="str">
        <v>pcs</v>
      </c>
      <c r="J41" s="2" t="str">
        <v>To select</v>
      </c>
      <c r="K41" s="14"/>
      <c r="L41" s="14" t="str">
        <v>Search supplier</v>
      </c>
      <c r="M41" s="15" t="str">
        <v>Select exact MPN</v>
      </c>
      <c r="N41" s="15" t="str">
        <v>Stable signal/timing capacitance; crystal loading is circuit-specific.</v>
      </c>
      <c r="O41" s="15" t="str">
        <v>Custom reel / continuous tape</v>
      </c>
      <c r="Q41" s="22"/>
      <c r="R41" s="23" t="str">
        <f>IF(AND(ISNUMBER(E41),ISNUMBER(Q41)),E41*Q41,"")</f>
      </c>
      <c r="S41" s="23" t="str">
        <f>IF(AND(ISNUMBER(H41),ISNUMBER(Q41)),H41*Q41,"")</f>
      </c>
      <c r="T41" s="20"/>
      <c r="U41" s="20" t="str">
        <f>IF(ISNUMBER(Q41),"Price entered; verify source","Select exact item / quote")</f>
        <v>Select exact item / quote</v>
      </c>
    </row>
    <row r="42" ht="42" customHeight="1">
      <c r="A42" s="2" t="str">
        <v>P2</v>
      </c>
      <c r="B42" s="2" t="str">
        <v>Capacitors</v>
      </c>
      <c r="C42" s="15" t="str">
        <v>100 pF C0G 50 V 5%</v>
      </c>
      <c r="D42" s="15" t="str">
        <v>0603 EIA</v>
      </c>
      <c r="E42" s="12" t="n">
        <v>100</v>
      </c>
      <c r="F42" s="12"/>
      <c r="G42" s="12"/>
      <c r="H42" s="13" t="str">
        <f>IF(AND(ISNUMBER(E42),ISNUMBER(F42),ISNUMBER(G42)),MAX(0,E42-F42-G42),"")</f>
      </c>
      <c r="I42" s="2" t="str">
        <v>pcs</v>
      </c>
      <c r="J42" s="2" t="str">
        <v>To select</v>
      </c>
      <c r="K42" s="14"/>
      <c r="L42" s="14" t="str">
        <v>Search supplier</v>
      </c>
      <c r="M42" s="15" t="str">
        <v>Select exact MPN</v>
      </c>
      <c r="N42" s="15" t="str">
        <v>Stable signal/timing capacitance; crystal loading is circuit-specific.</v>
      </c>
      <c r="O42" s="15" t="str">
        <v>Custom reel / continuous tape</v>
      </c>
      <c r="Q42" s="22"/>
      <c r="R42" s="23" t="str">
        <f>IF(AND(ISNUMBER(E42),ISNUMBER(Q42)),E42*Q42,"")</f>
      </c>
      <c r="S42" s="23" t="str">
        <f>IF(AND(ISNUMBER(H42),ISNUMBER(Q42)),H42*Q42,"")</f>
      </c>
      <c r="T42" s="20"/>
      <c r="U42" s="20" t="str">
        <f>IF(ISNUMBER(Q42),"Price entered; verify source","Select exact item / quote")</f>
        <v>Select exact item / quote</v>
      </c>
    </row>
    <row r="43" ht="42" customHeight="1">
      <c r="A43" s="2" t="str">
        <v>P2</v>
      </c>
      <c r="B43" s="2" t="str">
        <v>Capacitors</v>
      </c>
      <c r="C43" s="15" t="str">
        <v>1 nF C0G 50 V 5%</v>
      </c>
      <c r="D43" s="15" t="str">
        <v>0603 EIA</v>
      </c>
      <c r="E43" s="12" t="n">
        <v>100</v>
      </c>
      <c r="F43" s="12"/>
      <c r="G43" s="12"/>
      <c r="H43" s="13" t="str">
        <f>IF(AND(ISNUMBER(E43),ISNUMBER(F43),ISNUMBER(G43)),MAX(0,E43-F43-G43),"")</f>
      </c>
      <c r="I43" s="2" t="str">
        <v>pcs</v>
      </c>
      <c r="J43" s="2" t="str">
        <v>To select</v>
      </c>
      <c r="K43" s="14"/>
      <c r="L43" s="14" t="str">
        <v>Search supplier</v>
      </c>
      <c r="M43" s="15" t="str">
        <v>Select exact MPN</v>
      </c>
      <c r="N43" s="15" t="str">
        <v>Stable signal/timing capacitance; crystal loading is circuit-specific.</v>
      </c>
      <c r="O43" s="15" t="str">
        <v>Custom reel / continuous tape</v>
      </c>
      <c r="Q43" s="22"/>
      <c r="R43" s="23" t="str">
        <f>IF(AND(ISNUMBER(E43),ISNUMBER(Q43)),E43*Q43,"")</f>
      </c>
      <c r="S43" s="23" t="str">
        <f>IF(AND(ISNUMBER(H43),ISNUMBER(Q43)),H43*Q43,"")</f>
      </c>
      <c r="T43" s="20"/>
      <c r="U43" s="20" t="str">
        <f>IF(ISNUMBER(Q43),"Price entered; verify source","Select exact item / quote")</f>
        <v>Select exact item / quote</v>
      </c>
    </row>
    <row r="44" ht="42" customHeight="1">
      <c r="A44" s="2" t="str">
        <v>P2</v>
      </c>
      <c r="B44" s="2" t="str">
        <v>Capacitors</v>
      </c>
      <c r="C44" s="15" t="str">
        <v>100 nF X7R 16 V 10%</v>
      </c>
      <c r="D44" s="15" t="str">
        <v>0402 EIA</v>
      </c>
      <c r="E44" s="12" t="n">
        <v>1000</v>
      </c>
      <c r="F44" s="12"/>
      <c r="G44" s="12"/>
      <c r="H44" s="13" t="str">
        <f>IF(AND(ISNUMBER(E44),ISNUMBER(F44),ISNUMBER(G44)),MAX(0,E44-F44-G44),"")</f>
      </c>
      <c r="I44" s="2" t="str">
        <v>pcs</v>
      </c>
      <c r="J44" s="2" t="str">
        <v>To select</v>
      </c>
      <c r="K44" s="14"/>
      <c r="L44" s="14" t="str">
        <v>Search supplier</v>
      </c>
      <c r="M44" s="15" t="str">
        <v>Select exact MPN</v>
      </c>
      <c r="N44" s="15" t="str">
        <v>Compact decoupling stock; confirm machine capability.</v>
      </c>
      <c r="O44" s="15" t="str">
        <v>Custom reel / continuous tape</v>
      </c>
      <c r="Q44" s="22"/>
      <c r="R44" s="23" t="str">
        <f>IF(AND(ISNUMBER(E44),ISNUMBER(Q44)),E44*Q44,"")</f>
      </c>
      <c r="S44" s="23" t="str">
        <f>IF(AND(ISNUMBER(H44),ISNUMBER(Q44)),H44*Q44,"")</f>
      </c>
      <c r="T44" s="20"/>
      <c r="U44" s="20" t="str">
        <f>IF(ISNUMBER(Q44),"Price entered; verify source","Select exact item / quote")</f>
        <v>Select exact item / quote</v>
      </c>
    </row>
    <row r="45" ht="42" customHeight="1">
      <c r="A45" s="2" t="str">
        <v>P2</v>
      </c>
      <c r="B45" s="2" t="str">
        <v>Power passives</v>
      </c>
      <c r="C45" s="15" t="str">
        <v>Ferrite bead</v>
      </c>
      <c r="D45" s="15" t="str">
        <v>Circuit-dependent</v>
      </c>
      <c r="E45" s="12" t="n">
        <v>25</v>
      </c>
      <c r="F45" s="12"/>
      <c r="G45" s="12"/>
      <c r="H45" s="13" t="str">
        <f>IF(AND(ISNUMBER(E45),ISNUMBER(F45),ISNUMBER(G45)),MAX(0,E45-F45-G45),"")</f>
      </c>
      <c r="I45" s="2" t="str">
        <v>pcs</v>
      </c>
      <c r="J45" s="2" t="str">
        <v>To select</v>
      </c>
      <c r="K45" s="14"/>
      <c r="L45" s="14" t="str">
        <v>Search supplier</v>
      </c>
      <c r="M45" s="15" t="str">
        <v>Select circuit and MPN</v>
      </c>
      <c r="N45" s="15" t="str">
        <v>Select impedance curve, DC current and DCR.</v>
      </c>
      <c r="O45" s="15" t="str">
        <v>Small tape / evaluation stock</v>
      </c>
      <c r="Q45" s="22"/>
      <c r="R45" s="23" t="str">
        <f>IF(AND(ISNUMBER(E45),ISNUMBER(Q45)),E45*Q45,"")</f>
      </c>
      <c r="S45" s="23" t="str">
        <f>IF(AND(ISNUMBER(H45),ISNUMBER(Q45)),H45*Q45,"")</f>
      </c>
      <c r="T45" s="20"/>
      <c r="U45" s="20" t="str">
        <f>IF(ISNUMBER(Q45),"Price entered; verify source","Select exact item / quote")</f>
        <v>Select exact item / quote</v>
      </c>
    </row>
    <row r="46" ht="42" customHeight="1">
      <c r="A46" s="2" t="str">
        <v>P2</v>
      </c>
      <c r="B46" s="2" t="str">
        <v>Power passives</v>
      </c>
      <c r="C46" s="15" t="str">
        <v>Power inductor</v>
      </c>
      <c r="D46" s="15" t="str">
        <v>Circuit-dependent</v>
      </c>
      <c r="E46" s="12" t="n">
        <v>25</v>
      </c>
      <c r="F46" s="12"/>
      <c r="G46" s="12"/>
      <c r="H46" s="13" t="str">
        <f>IF(AND(ISNUMBER(E46),ISNUMBER(F46),ISNUMBER(G46)),MAX(0,E46-F46-G46),"")</f>
      </c>
      <c r="I46" s="2" t="str">
        <v>pcs</v>
      </c>
      <c r="J46" s="2" t="str">
        <v>To select</v>
      </c>
      <c r="K46" s="14"/>
      <c r="L46" s="14" t="str">
        <v>Search supplier</v>
      </c>
      <c r="M46" s="15" t="str">
        <v>Select circuit and MPN</v>
      </c>
      <c r="N46" s="15" t="str">
        <v>Select inductance, saturation and RMS current for regulator.</v>
      </c>
      <c r="O46" s="15" t="str">
        <v>Small tape / evaluation stock</v>
      </c>
      <c r="Q46" s="22"/>
      <c r="R46" s="23" t="str">
        <f>IF(AND(ISNUMBER(E46),ISNUMBER(Q46)),E46*Q46,"")</f>
      </c>
      <c r="S46" s="23" t="str">
        <f>IF(AND(ISNUMBER(H46),ISNUMBER(Q46)),H46*Q46,"")</f>
      </c>
      <c r="T46" s="20"/>
      <c r="U46" s="20" t="str">
        <f>IF(ISNUMBER(Q46),"Price entered; verify source","Select exact item / quote")</f>
        <v>Select exact item / quote</v>
      </c>
    </row>
    <row r="47" ht="42" customHeight="1">
      <c r="A47" s="2" t="str">
        <v>P2</v>
      </c>
      <c r="B47" s="2" t="str">
        <v>Power passives</v>
      </c>
      <c r="C47" s="15" t="str">
        <v>Bulk aluminum capacitor</v>
      </c>
      <c r="D47" s="15" t="str">
        <v>Circuit-dependent</v>
      </c>
      <c r="E47" s="12" t="n">
        <v>25</v>
      </c>
      <c r="F47" s="12"/>
      <c r="G47" s="12"/>
      <c r="H47" s="13" t="str">
        <f>IF(AND(ISNUMBER(E47),ISNUMBER(F47),ISNUMBER(G47)),MAX(0,E47-F47-G47),"")</f>
      </c>
      <c r="I47" s="2" t="str">
        <v>pcs</v>
      </c>
      <c r="J47" s="2" t="str">
        <v>To select</v>
      </c>
      <c r="K47" s="14"/>
      <c r="L47" s="14" t="str">
        <v>Search supplier</v>
      </c>
      <c r="M47" s="15" t="str">
        <v>Select circuit and MPN</v>
      </c>
      <c r="N47" s="15" t="str">
        <v>Select capacitance, voltage, ESR, ripple current and life.</v>
      </c>
      <c r="O47" s="15" t="str">
        <v>Small tape / evaluation stock</v>
      </c>
      <c r="Q47" s="22"/>
      <c r="R47" s="23" t="str">
        <f>IF(AND(ISNUMBER(E47),ISNUMBER(Q47)),E47*Q47,"")</f>
      </c>
      <c r="S47" s="23" t="str">
        <f>IF(AND(ISNUMBER(H47),ISNUMBER(Q47)),H47*Q47,"")</f>
      </c>
      <c r="T47" s="20"/>
      <c r="U47" s="20" t="str">
        <f>IF(ISNUMBER(Q47),"Price entered; verify source","Select exact item / quote")</f>
        <v>Select exact item / quote</v>
      </c>
    </row>
    <row r="48" ht="42" customHeight="1">
      <c r="A48" s="2" t="str">
        <v>P2</v>
      </c>
      <c r="B48" s="2" t="str">
        <v>Power passives</v>
      </c>
      <c r="C48" s="15" t="str">
        <v>Precision shunt resistor</v>
      </c>
      <c r="D48" s="15" t="str">
        <v>Circuit-dependent</v>
      </c>
      <c r="E48" s="12" t="n">
        <v>25</v>
      </c>
      <c r="F48" s="12"/>
      <c r="G48" s="12"/>
      <c r="H48" s="13" t="str">
        <f>IF(AND(ISNUMBER(E48),ISNUMBER(F48),ISNUMBER(G48)),MAX(0,E48-F48-G48),"")</f>
      </c>
      <c r="I48" s="2" t="str">
        <v>pcs</v>
      </c>
      <c r="J48" s="2" t="str">
        <v>To select</v>
      </c>
      <c r="K48" s="14"/>
      <c r="L48" s="14" t="str">
        <v>Search supplier</v>
      </c>
      <c r="M48" s="15" t="str">
        <v>Select circuit and MPN</v>
      </c>
      <c r="N48" s="15" t="str">
        <v>Select resistance, power, tolerance and Kelvin footprint.</v>
      </c>
      <c r="O48" s="15" t="str">
        <v>Small tape / evaluation stock</v>
      </c>
      <c r="Q48" s="22"/>
      <c r="R48" s="23" t="str">
        <f>IF(AND(ISNUMBER(E48),ISNUMBER(Q48)),E48*Q48,"")</f>
      </c>
      <c r="S48" s="23" t="str">
        <f>IF(AND(ISNUMBER(H48),ISNUMBER(Q48)),H48*Q48,"")</f>
      </c>
      <c r="T48" s="20"/>
      <c r="U48" s="20" t="str">
        <f>IF(ISNUMBER(Q48),"Price entered; verify source","Select exact item / quote")</f>
        <v>Select exact item / quote</v>
      </c>
    </row>
    <row r="49" ht="42" customHeight="1">
      <c r="A49" s="2" t="str">
        <v>P1</v>
      </c>
      <c r="B49" s="2" t="str">
        <v>Common ICs</v>
      </c>
      <c r="C49" s="15" t="str">
        <v>3.3 V LDO</v>
      </c>
      <c r="D49" s="15" t="str">
        <v>SOT-23-5</v>
      </c>
      <c r="E49" s="12" t="n">
        <v>50</v>
      </c>
      <c r="F49" s="12"/>
      <c r="G49" s="12"/>
      <c r="H49" s="13" t="str">
        <f>IF(AND(ISNUMBER(E49),ISNUMBER(F49),ISNUMBER(G49)),MAX(0,E49-F49-G49),"")</f>
      </c>
      <c r="I49" s="2" t="str">
        <v>pcs</v>
      </c>
      <c r="J49" s="2" t="str">
        <v>TLV755P</v>
      </c>
      <c r="K49" s="14" t="str">
        <v>Manufacturer page</v>
      </c>
      <c r="L49" s="14" t="str">
        <v>Search supplier</v>
      </c>
      <c r="M49" s="15" t="str">
        <v>Select full order suffix</v>
      </c>
      <c r="N49" s="15" t="str">
        <v>Local regulated rail. Input max 5.5 V; cannot use directly on 4S.</v>
      </c>
      <c r="O49" s="15" t="str">
        <v>Custom reel / continuous tape</v>
      </c>
      <c r="Q49" s="22"/>
      <c r="R49" s="23" t="str">
        <f>IF(AND(ISNUMBER(E49),ISNUMBER(Q49)),E49*Q49,"")</f>
      </c>
      <c r="S49" s="23" t="str">
        <f>IF(AND(ISNUMBER(H49),ISNUMBER(Q49)),H49*Q49,"")</f>
      </c>
      <c r="T49" s="20"/>
      <c r="U49" s="20" t="str">
        <f>IF(ISNUMBER(Q49),"Price entered; verify source","Select exact item / quote")</f>
        <v>Select exact item / quote</v>
      </c>
    </row>
    <row r="50" ht="42" customHeight="1">
      <c r="A50" s="2" t="str">
        <v>P1</v>
      </c>
      <c r="B50" s="2" t="str">
        <v>Common ICs</v>
      </c>
      <c r="C50" s="15" t="str">
        <v>1.8 V LDO</v>
      </c>
      <c r="D50" s="15" t="str">
        <v>SOT-23-5</v>
      </c>
      <c r="E50" s="12" t="n">
        <v>25</v>
      </c>
      <c r="F50" s="12"/>
      <c r="G50" s="12"/>
      <c r="H50" s="13" t="str">
        <f>IF(AND(ISNUMBER(E50),ISNUMBER(F50),ISNUMBER(G50)),MAX(0,E50-F50-G50),"")</f>
      </c>
      <c r="I50" s="2" t="str">
        <v>pcs</v>
      </c>
      <c r="J50" s="2" t="str">
        <v>TLV755P</v>
      </c>
      <c r="K50" s="14" t="str">
        <v>Manufacturer page</v>
      </c>
      <c r="L50" s="14" t="str">
        <v>Search supplier</v>
      </c>
      <c r="M50" s="15" t="str">
        <v>Select full order suffix</v>
      </c>
      <c r="N50" s="15" t="str">
        <v>Local 1.8 V rail. Choose fixed 1.8 V order code.</v>
      </c>
      <c r="O50" s="15" t="str">
        <v>Custom reel / continuous tape</v>
      </c>
      <c r="Q50" s="22"/>
      <c r="R50" s="23" t="str">
        <f>IF(AND(ISNUMBER(E50),ISNUMBER(Q50)),E50*Q50,"")</f>
      </c>
      <c r="S50" s="23" t="str">
        <f>IF(AND(ISNUMBER(H50),ISNUMBER(Q50)),H50*Q50,"")</f>
      </c>
      <c r="T50" s="20"/>
      <c r="U50" s="20" t="str">
        <f>IF(ISNUMBER(Q50),"Price entered; verify source","Select exact item / quote")</f>
        <v>Select exact item / quote</v>
      </c>
    </row>
    <row r="51" ht="42" customHeight="1">
      <c r="A51" s="2" t="str">
        <v>P1</v>
      </c>
      <c r="B51" s="2" t="str">
        <v>Common ICs</v>
      </c>
      <c r="C51" s="15" t="str">
        <v>Dual op amp</v>
      </c>
      <c r="D51" s="15" t="str">
        <v>SOIC-8</v>
      </c>
      <c r="E51" s="12" t="n">
        <v>25</v>
      </c>
      <c r="F51" s="12"/>
      <c r="G51" s="12"/>
      <c r="H51" s="13" t="str">
        <f>IF(AND(ISNUMBER(E51),ISNUMBER(F51),ISNUMBER(G51)),MAX(0,E51-F51-G51),"")</f>
      </c>
      <c r="I51" s="2" t="str">
        <v>pcs</v>
      </c>
      <c r="J51" s="2" t="str">
        <v>TLV9002</v>
      </c>
      <c r="K51" s="14" t="str">
        <v>Manufacturer page</v>
      </c>
      <c r="L51" s="14" t="str">
        <v>Search supplier</v>
      </c>
      <c r="M51" s="15" t="str">
        <v>Select full order suffix</v>
      </c>
      <c r="N51" s="15" t="str">
        <v>Amplifies, buffers and filters low-voltage analog signals.</v>
      </c>
      <c r="O51" s="15" t="str">
        <v>Custom reel / continuous tape</v>
      </c>
      <c r="Q51" s="22"/>
      <c r="R51" s="23" t="str">
        <f>IF(AND(ISNUMBER(E51),ISNUMBER(Q51)),E51*Q51,"")</f>
      </c>
      <c r="S51" s="23" t="str">
        <f>IF(AND(ISNUMBER(H51),ISNUMBER(Q51)),H51*Q51,"")</f>
      </c>
      <c r="T51" s="20"/>
      <c r="U51" s="20" t="str">
        <f>IF(ISNUMBER(Q51),"Price entered; verify source","Select exact item / quote")</f>
        <v>Select exact item / quote</v>
      </c>
    </row>
    <row r="52" ht="42" customHeight="1">
      <c r="A52" s="2" t="str">
        <v>P1</v>
      </c>
      <c r="B52" s="2" t="str">
        <v>Common ICs</v>
      </c>
      <c r="C52" s="15" t="str">
        <v>Comparator</v>
      </c>
      <c r="D52" s="15" t="str">
        <v>SOT-23-5</v>
      </c>
      <c r="E52" s="12" t="n">
        <v>25</v>
      </c>
      <c r="F52" s="12"/>
      <c r="G52" s="12"/>
      <c r="H52" s="13" t="str">
        <f>IF(AND(ISNUMBER(E52),ISNUMBER(F52),ISNUMBER(G52)),MAX(0,E52-F52-G52),"")</f>
      </c>
      <c r="I52" s="2" t="str">
        <v>pcs</v>
      </c>
      <c r="J52" s="2" t="str">
        <v>TLV3201</v>
      </c>
      <c r="K52" s="14" t="str">
        <v>Manufacturer page</v>
      </c>
      <c r="L52" s="14" t="str">
        <v>Search supplier</v>
      </c>
      <c r="M52" s="15" t="str">
        <v>Select full order suffix</v>
      </c>
      <c r="N52" s="15" t="str">
        <v>Converts an analog threshold crossing to a logic signal.</v>
      </c>
      <c r="O52" s="15" t="str">
        <v>Custom reel / continuous tape</v>
      </c>
      <c r="Q52" s="22"/>
      <c r="R52" s="23" t="str">
        <f>IF(AND(ISNUMBER(E52),ISNUMBER(Q52)),E52*Q52,"")</f>
      </c>
      <c r="S52" s="23" t="str">
        <f>IF(AND(ISNUMBER(H52),ISNUMBER(Q52)),H52*Q52,"")</f>
      </c>
      <c r="T52" s="20"/>
      <c r="U52" s="20" t="str">
        <f>IF(ISNUMBER(Q52),"Price entered; verify source","Select exact item / quote")</f>
        <v>Select exact item / quote</v>
      </c>
    </row>
    <row r="53" ht="42" customHeight="1">
      <c r="A53" s="2" t="str">
        <v>P1</v>
      </c>
      <c r="B53" s="2" t="str">
        <v>Common ICs</v>
      </c>
      <c r="C53" s="15" t="str">
        <v>Schmitt inverter</v>
      </c>
      <c r="D53" s="15" t="str">
        <v>SOT-23-5</v>
      </c>
      <c r="E53" s="12" t="n">
        <v>50</v>
      </c>
      <c r="F53" s="12"/>
      <c r="G53" s="12"/>
      <c r="H53" s="13" t="str">
        <f>IF(AND(ISNUMBER(E53),ISNUMBER(F53),ISNUMBER(G53)),MAX(0,E53-F53-G53),"")</f>
      </c>
      <c r="I53" s="2" t="str">
        <v>pcs</v>
      </c>
      <c r="J53" s="2" t="str">
        <v>SN74LVC1G14</v>
      </c>
      <c r="K53" s="14" t="str">
        <v>Manufacturer page</v>
      </c>
      <c r="L53" s="14" t="str">
        <v>Search supplier</v>
      </c>
      <c r="M53" s="15" t="str">
        <v>Select full order suffix</v>
      </c>
      <c r="N53" s="15" t="str">
        <v>Cleans slow/noisy digital edges and inverts logic.</v>
      </c>
      <c r="O53" s="15" t="str">
        <v>Custom reel / continuous tape</v>
      </c>
      <c r="Q53" s="22"/>
      <c r="R53" s="23" t="str">
        <f>IF(AND(ISNUMBER(E53),ISNUMBER(Q53)),E53*Q53,"")</f>
      </c>
      <c r="S53" s="23" t="str">
        <f>IF(AND(ISNUMBER(H53),ISNUMBER(Q53)),H53*Q53,"")</f>
      </c>
      <c r="T53" s="20"/>
      <c r="U53" s="20" t="str">
        <f>IF(ISNUMBER(Q53),"Price entered; verify source","Select exact item / quote")</f>
        <v>Select exact item / quote</v>
      </c>
    </row>
    <row r="54" ht="42" customHeight="1">
      <c r="A54" s="2" t="str">
        <v>P1</v>
      </c>
      <c r="B54" s="2" t="str">
        <v>Common ICs</v>
      </c>
      <c r="C54" s="15" t="str">
        <v>Tri-state buffer</v>
      </c>
      <c r="D54" s="15" t="str">
        <v>SOT-23-5</v>
      </c>
      <c r="E54" s="12" t="n">
        <v>50</v>
      </c>
      <c r="F54" s="12"/>
      <c r="G54" s="12"/>
      <c r="H54" s="13" t="str">
        <f>IF(AND(ISNUMBER(E54),ISNUMBER(F54),ISNUMBER(G54)),MAX(0,E54-F54-G54),"")</f>
      </c>
      <c r="I54" s="2" t="str">
        <v>pcs</v>
      </c>
      <c r="J54" s="2" t="str">
        <v>SN74LVC1G125</v>
      </c>
      <c r="K54" s="14" t="str">
        <v>Manufacturer page</v>
      </c>
      <c r="L54" s="14" t="str">
        <v>Search supplier</v>
      </c>
      <c r="M54" s="15" t="str">
        <v>Select full order suffix</v>
      </c>
      <c r="N54" s="15" t="str">
        <v>Buffers a logic signal with output enable control.</v>
      </c>
      <c r="O54" s="15" t="str">
        <v>Custom reel / continuous tape</v>
      </c>
      <c r="Q54" s="22"/>
      <c r="R54" s="23" t="str">
        <f>IF(AND(ISNUMBER(E54),ISNUMBER(Q54)),E54*Q54,"")</f>
      </c>
      <c r="S54" s="23" t="str">
        <f>IF(AND(ISNUMBER(H54),ISNUMBER(Q54)),H54*Q54,"")</f>
      </c>
      <c r="T54" s="20"/>
      <c r="U54" s="20" t="str">
        <f>IF(ISNUMBER(Q54),"Price entered; verify source","Select exact item / quote")</f>
        <v>Select exact item / quote</v>
      </c>
    </row>
    <row r="55" ht="42" customHeight="1">
      <c r="A55" s="2" t="str">
        <v>P1</v>
      </c>
      <c r="B55" s="2" t="str">
        <v>Common ICs</v>
      </c>
      <c r="C55" s="15" t="str">
        <v>Level translator</v>
      </c>
      <c r="D55" s="15" t="str">
        <v>SOT-23-6</v>
      </c>
      <c r="E55" s="12" t="n">
        <v>25</v>
      </c>
      <c r="F55" s="12"/>
      <c r="G55" s="12"/>
      <c r="H55" s="13" t="str">
        <f>IF(AND(ISNUMBER(E55),ISNUMBER(F55),ISNUMBER(G55)),MAX(0,E55-F55-G55),"")</f>
      </c>
      <c r="I55" s="2" t="str">
        <v>pcs</v>
      </c>
      <c r="J55" s="2" t="str">
        <v>SN74LVC1T45</v>
      </c>
      <c r="K55" s="14" t="str">
        <v>Manufacturer page</v>
      </c>
      <c r="L55" s="14" t="str">
        <v>Search supplier</v>
      </c>
      <c r="M55" s="15" t="str">
        <v>Select full order suffix</v>
      </c>
      <c r="N55" s="15" t="str">
        <v>Direction-controlled push-pull translation; not universal I2C.</v>
      </c>
      <c r="O55" s="15" t="str">
        <v>Custom reel / continuous tape</v>
      </c>
      <c r="Q55" s="22"/>
      <c r="R55" s="23" t="str">
        <f>IF(AND(ISNUMBER(E55),ISNUMBER(Q55)),E55*Q55,"")</f>
      </c>
      <c r="S55" s="23" t="str">
        <f>IF(AND(ISNUMBER(H55),ISNUMBER(Q55)),H55*Q55,"")</f>
      </c>
      <c r="T55" s="20"/>
      <c r="U55" s="20" t="str">
        <f>IF(ISNUMBER(Q55),"Price entered; verify source","Select exact item / quote")</f>
        <v>Select exact item / quote</v>
      </c>
    </row>
    <row r="56" ht="42" customHeight="1">
      <c r="A56" s="2" t="str">
        <v>P1</v>
      </c>
      <c r="B56" s="2" t="str">
        <v>Common ICs</v>
      </c>
      <c r="C56" s="15" t="str">
        <v>Load switch</v>
      </c>
      <c r="D56" s="15" t="str">
        <v>SOT-23-6</v>
      </c>
      <c r="E56" s="12" t="n">
        <v>25</v>
      </c>
      <c r="F56" s="12"/>
      <c r="G56" s="12"/>
      <c r="H56" s="13" t="str">
        <f>IF(AND(ISNUMBER(E56),ISNUMBER(F56),ISNUMBER(G56)),MAX(0,E56-F56-G56),"")</f>
      </c>
      <c r="I56" s="2" t="str">
        <v>pcs</v>
      </c>
      <c r="J56" s="2" t="str">
        <v>TPS22918</v>
      </c>
      <c r="K56" s="14" t="str">
        <v>Manufacturer page</v>
      </c>
      <c r="L56" s="14" t="str">
        <v>Search supplier</v>
      </c>
      <c r="M56" s="15" t="str">
        <v>Select full order suffix</v>
      </c>
      <c r="N56" s="15" t="str">
        <v>Switches local power. Max 5.5 V input; not an eFuse.</v>
      </c>
      <c r="O56" s="15" t="str">
        <v>Custom reel / continuous tape</v>
      </c>
      <c r="Q56" s="22"/>
      <c r="R56" s="23" t="str">
        <f>IF(AND(ISNUMBER(E56),ISNUMBER(Q56)),E56*Q56,"")</f>
      </c>
      <c r="S56" s="23" t="str">
        <f>IF(AND(ISNUMBER(H56),ISNUMBER(Q56)),H56*Q56,"")</f>
      </c>
      <c r="T56" s="20"/>
      <c r="U56" s="20" t="str">
        <f>IF(ISNUMBER(Q56),"Price entered; verify source","Select exact item / quote")</f>
        <v>Select exact item / quote</v>
      </c>
    </row>
    <row r="57" ht="42" customHeight="1">
      <c r="A57" s="2" t="str">
        <v>P2</v>
      </c>
      <c r="B57" s="2" t="str">
        <v>Common ICs</v>
      </c>
      <c r="C57" s="15" t="str">
        <v>Current-sense amplifier</v>
      </c>
      <c r="D57" s="15" t="str">
        <v>SOT-23-5</v>
      </c>
      <c r="E57" s="12" t="n">
        <v>25</v>
      </c>
      <c r="F57" s="12"/>
      <c r="G57" s="12"/>
      <c r="H57" s="13" t="str">
        <f>IF(AND(ISNUMBER(E57),ISNUMBER(F57),ISNUMBER(G57)),MAX(0,E57-F57-G57),"")</f>
      </c>
      <c r="I57" s="2" t="str">
        <v>pcs</v>
      </c>
      <c r="J57" s="2" t="str">
        <v>INA180</v>
      </c>
      <c r="K57" s="14" t="str">
        <v>Manufacturer page</v>
      </c>
      <c r="L57" s="14" t="str">
        <v>Search supplier</v>
      </c>
      <c r="M57" s="15" t="str">
        <v>Select full order suffix</v>
      </c>
      <c r="N57" s="15" t="str">
        <v>Reads shunt voltage; choose one gain and exact pinout variant.</v>
      </c>
      <c r="O57" s="15" t="str">
        <v>Custom reel / continuous tape</v>
      </c>
      <c r="Q57" s="22"/>
      <c r="R57" s="23" t="str">
        <f>IF(AND(ISNUMBER(E57),ISNUMBER(Q57)),E57*Q57,"")</f>
      </c>
      <c r="S57" s="23" t="str">
        <f>IF(AND(ISNUMBER(H57),ISNUMBER(Q57)),H57*Q57,"")</f>
      </c>
      <c r="T57" s="20"/>
      <c r="U57" s="20" t="str">
        <f>IF(ISNUMBER(Q57),"Price entered; verify source","Select exact item / quote")</f>
        <v>Select exact item / quote</v>
      </c>
    </row>
    <row r="58" ht="42" customHeight="1">
      <c r="A58" s="2" t="str">
        <v>P2</v>
      </c>
      <c r="B58" s="2" t="str">
        <v>Common ICs</v>
      </c>
      <c r="C58" s="15" t="str">
        <v>CAN transceiver</v>
      </c>
      <c r="D58" s="15" t="str">
        <v>SOIC-8</v>
      </c>
      <c r="E58" s="12" t="n">
        <v>20</v>
      </c>
      <c r="F58" s="12"/>
      <c r="G58" s="12"/>
      <c r="H58" s="13" t="str">
        <f>IF(AND(ISNUMBER(E58),ISNUMBER(F58),ISNUMBER(G58)),MAX(0,E58-F58-G58),"")</f>
      </c>
      <c r="I58" s="2" t="str">
        <v>pcs</v>
      </c>
      <c r="J58" s="2" t="str">
        <v>TCAN332</v>
      </c>
      <c r="K58" s="14" t="str">
        <v>Manufacturer page</v>
      </c>
      <c r="L58" s="14" t="str">
        <v>Search supplier</v>
      </c>
      <c r="M58" s="15" t="str">
        <v>Select full order suffix</v>
      </c>
      <c r="N58" s="15" t="str">
        <v>Interfaces controller CAN logic to bus wiring.</v>
      </c>
      <c r="O58" s="15" t="str">
        <v>Custom reel / continuous tape</v>
      </c>
      <c r="Q58" s="22"/>
      <c r="R58" s="23" t="str">
        <f>IF(AND(ISNUMBER(E58),ISNUMBER(Q58)),E58*Q58,"")</f>
      </c>
      <c r="S58" s="23" t="str">
        <f>IF(AND(ISNUMBER(H58),ISNUMBER(Q58)),H58*Q58,"")</f>
      </c>
      <c r="T58" s="20"/>
      <c r="U58" s="20" t="str">
        <f>IF(ISNUMBER(Q58),"Price entered; verify source","Select exact item / quote")</f>
        <v>Select exact item / quote</v>
      </c>
    </row>
    <row r="59" ht="42" customHeight="1">
      <c r="A59" s="2" t="str">
        <v>P2</v>
      </c>
      <c r="B59" s="2" t="str">
        <v>Platform parts</v>
      </c>
      <c r="C59" s="15" t="str">
        <v>Microcontroller</v>
      </c>
      <c r="D59" s="15" t="str">
        <v>Select platform</v>
      </c>
      <c r="E59" s="12" t="n">
        <v>20</v>
      </c>
      <c r="F59" s="12"/>
      <c r="G59" s="12"/>
      <c r="H59" s="13" t="str">
        <f>IF(AND(ISNUMBER(E59),ISNUMBER(F59),ISNUMBER(G59)),MAX(0,E59-F59-G59),"")</f>
      </c>
      <c r="I59" s="2" t="str">
        <v>pcs</v>
      </c>
      <c r="J59" s="2" t="str">
        <v>To select</v>
      </c>
      <c r="K59" s="14"/>
      <c r="L59" s="14" t="str">
        <v>Search supplier</v>
      </c>
      <c r="M59" s="15" t="str">
        <v>Select platform and MPN</v>
      </c>
      <c r="N59" s="15" t="str">
        <v>Choose one supported MCU platform and programming tools.</v>
      </c>
      <c r="O59" s="15" t="str">
        <v>Small tape / kits</v>
      </c>
      <c r="Q59" s="22"/>
      <c r="R59" s="23" t="str">
        <f>IF(AND(ISNUMBER(E59),ISNUMBER(Q59)),E59*Q59,"")</f>
      </c>
      <c r="S59" s="23" t="str">
        <f>IF(AND(ISNUMBER(H59),ISNUMBER(Q59)),H59*Q59,"")</f>
      </c>
      <c r="T59" s="20"/>
      <c r="U59" s="20" t="str">
        <f>IF(ISNUMBER(Q59),"Price entered; verify source","Select exact item / quote")</f>
        <v>Select exact item / quote</v>
      </c>
    </row>
    <row r="60" ht="42" customHeight="1">
      <c r="A60" s="2" t="str">
        <v>P2</v>
      </c>
      <c r="B60" s="2" t="str">
        <v>Platform parts</v>
      </c>
      <c r="C60" s="15" t="str">
        <v>SPI flash</v>
      </c>
      <c r="D60" s="15" t="str">
        <v>Select platform</v>
      </c>
      <c r="E60" s="12" t="n">
        <v>20</v>
      </c>
      <c r="F60" s="12"/>
      <c r="G60" s="12"/>
      <c r="H60" s="13" t="str">
        <f>IF(AND(ISNUMBER(E60),ISNUMBER(F60),ISNUMBER(G60)),MAX(0,E60-F60-G60),"")</f>
      </c>
      <c r="I60" s="2" t="str">
        <v>pcs</v>
      </c>
      <c r="J60" s="2" t="str">
        <v>To select</v>
      </c>
      <c r="K60" s="14"/>
      <c r="L60" s="14" t="str">
        <v>Search supplier</v>
      </c>
      <c r="M60" s="15" t="str">
        <v>Select platform and MPN</v>
      </c>
      <c r="N60" s="15" t="str">
        <v>Nonvolatile storage matched to MCU voltage and footprint.</v>
      </c>
      <c r="O60" s="15" t="str">
        <v>Small tape / kits</v>
      </c>
      <c r="Q60" s="22"/>
      <c r="R60" s="23" t="str">
        <f>IF(AND(ISNUMBER(E60),ISNUMBER(Q60)),E60*Q60,"")</f>
      </c>
      <c r="S60" s="23" t="str">
        <f>IF(AND(ISNUMBER(H60),ISNUMBER(Q60)),H60*Q60,"")</f>
      </c>
      <c r="T60" s="20"/>
      <c r="U60" s="20" t="str">
        <f>IF(ISNUMBER(Q60),"Price entered; verify source","Select exact item / quote")</f>
        <v>Select exact item / quote</v>
      </c>
    </row>
    <row r="61" ht="42" customHeight="1">
      <c r="A61" s="2" t="str">
        <v>P2</v>
      </c>
      <c r="B61" s="2" t="str">
        <v>Platform parts</v>
      </c>
      <c r="C61" s="15" t="str">
        <v>I2C EEPROM</v>
      </c>
      <c r="D61" s="15" t="str">
        <v>Select platform</v>
      </c>
      <c r="E61" s="12" t="n">
        <v>20</v>
      </c>
      <c r="F61" s="12"/>
      <c r="G61" s="12"/>
      <c r="H61" s="13" t="str">
        <f>IF(AND(ISNUMBER(E61),ISNUMBER(F61),ISNUMBER(G61)),MAX(0,E61-F61-G61),"")</f>
      </c>
      <c r="I61" s="2" t="str">
        <v>pcs</v>
      </c>
      <c r="J61" s="2" t="str">
        <v>To select</v>
      </c>
      <c r="K61" s="14"/>
      <c r="L61" s="14" t="str">
        <v>Search supplier</v>
      </c>
      <c r="M61" s="15" t="str">
        <v>Select platform and MPN</v>
      </c>
      <c r="N61" s="15" t="str">
        <v>Configuration storage; choose capacity, voltage and address options.</v>
      </c>
      <c r="O61" s="15" t="str">
        <v>Small tape / kits</v>
      </c>
      <c r="Q61" s="22"/>
      <c r="R61" s="23" t="str">
        <f>IF(AND(ISNUMBER(E61),ISNUMBER(Q61)),E61*Q61,"")</f>
      </c>
      <c r="S61" s="23" t="str">
        <f>IF(AND(ISNUMBER(H61),ISNUMBER(Q61)),H61*Q61,"")</f>
      </c>
      <c r="T61" s="20"/>
      <c r="U61" s="20" t="str">
        <f>IF(ISNUMBER(Q61),"Price entered; verify source","Select exact item / quote")</f>
        <v>Select exact item / quote</v>
      </c>
    </row>
    <row r="62" ht="42" customHeight="1">
      <c r="A62" s="2" t="str">
        <v>P2</v>
      </c>
      <c r="B62" s="2" t="str">
        <v>Platform parts</v>
      </c>
      <c r="C62" s="15" t="str">
        <v>RS-485 transceiver</v>
      </c>
      <c r="D62" s="15" t="str">
        <v>Select platform</v>
      </c>
      <c r="E62" s="12" t="n">
        <v>20</v>
      </c>
      <c r="F62" s="12"/>
      <c r="G62" s="12"/>
      <c r="H62" s="13" t="str">
        <f>IF(AND(ISNUMBER(E62),ISNUMBER(F62),ISNUMBER(G62)),MAX(0,E62-F62-G62),"")</f>
      </c>
      <c r="I62" s="2" t="str">
        <v>pcs</v>
      </c>
      <c r="J62" s="2" t="str">
        <v>To select</v>
      </c>
      <c r="K62" s="14"/>
      <c r="L62" s="14" t="str">
        <v>Search supplier</v>
      </c>
      <c r="M62" s="15" t="str">
        <v>Select platform and MPN</v>
      </c>
      <c r="N62" s="15" t="str">
        <v>Differential serial bus; select speed, voltage and protection.</v>
      </c>
      <c r="O62" s="15" t="str">
        <v>Small tape / kits</v>
      </c>
      <c r="Q62" s="22"/>
      <c r="R62" s="23" t="str">
        <f>IF(AND(ISNUMBER(E62),ISNUMBER(Q62)),E62*Q62,"")</f>
      </c>
      <c r="S62" s="23" t="str">
        <f>IF(AND(ISNUMBER(H62),ISNUMBER(Q62)),H62*Q62,"")</f>
      </c>
      <c r="T62" s="20"/>
      <c r="U62" s="20" t="str">
        <f>IF(ISNUMBER(Q62),"Price entered; verify source","Select exact item / quote")</f>
        <v>Select exact item / quote</v>
      </c>
    </row>
    <row r="63" ht="42" customHeight="1">
      <c r="A63" s="2" t="str">
        <v>P2</v>
      </c>
      <c r="B63" s="2" t="str">
        <v>Platform parts</v>
      </c>
      <c r="C63" s="15" t="str">
        <v>I2C level translator</v>
      </c>
      <c r="D63" s="15" t="str">
        <v>Select platform</v>
      </c>
      <c r="E63" s="12" t="n">
        <v>20</v>
      </c>
      <c r="F63" s="12"/>
      <c r="G63" s="12"/>
      <c r="H63" s="13" t="str">
        <f>IF(AND(ISNUMBER(E63),ISNUMBER(F63),ISNUMBER(G63)),MAX(0,E63-F63-G63),"")</f>
      </c>
      <c r="I63" s="2" t="str">
        <v>pcs</v>
      </c>
      <c r="J63" s="2" t="str">
        <v>To select</v>
      </c>
      <c r="K63" s="14"/>
      <c r="L63" s="14" t="str">
        <v>Search supplier</v>
      </c>
      <c r="M63" s="15" t="str">
        <v>Select platform and MPN</v>
      </c>
      <c r="N63" s="15" t="str">
        <v>Open-drain bus translation; check pull-ups and capacitance.</v>
      </c>
      <c r="O63" s="15" t="str">
        <v>Small tape / kits</v>
      </c>
      <c r="Q63" s="22"/>
      <c r="R63" s="23" t="str">
        <f>IF(AND(ISNUMBER(E63),ISNUMBER(Q63)),E63*Q63,"")</f>
      </c>
      <c r="S63" s="23" t="str">
        <f>IF(AND(ISNUMBER(H63),ISNUMBER(Q63)),H63*Q63,"")</f>
      </c>
      <c r="T63" s="20"/>
      <c r="U63" s="20" t="str">
        <f>IF(ISNUMBER(Q63),"Price entered; verify source","Select exact item / quote")</f>
        <v>Select exact item / quote</v>
      </c>
    </row>
    <row r="64" ht="42" customHeight="1">
      <c r="A64" s="2" t="str">
        <v>P2</v>
      </c>
      <c r="B64" s="2" t="str">
        <v>Platform parts</v>
      </c>
      <c r="C64" s="15" t="str">
        <v>Reset supervisor</v>
      </c>
      <c r="D64" s="15" t="str">
        <v>Select platform</v>
      </c>
      <c r="E64" s="12" t="n">
        <v>20</v>
      </c>
      <c r="F64" s="12"/>
      <c r="G64" s="12"/>
      <c r="H64" s="13" t="str">
        <f>IF(AND(ISNUMBER(E64),ISNUMBER(F64),ISNUMBER(G64)),MAX(0,E64-F64-G64),"")</f>
      </c>
      <c r="I64" s="2" t="str">
        <v>pcs</v>
      </c>
      <c r="J64" s="2" t="str">
        <v>To select</v>
      </c>
      <c r="K64" s="14"/>
      <c r="L64" s="14" t="str">
        <v>Search supplier</v>
      </c>
      <c r="M64" s="15" t="str">
        <v>Select platform and MPN</v>
      </c>
      <c r="N64" s="15" t="str">
        <v>Holds processor in reset while supply is invalid.</v>
      </c>
      <c r="O64" s="15" t="str">
        <v>Small tape / kits</v>
      </c>
      <c r="Q64" s="22"/>
      <c r="R64" s="23" t="str">
        <f>IF(AND(ISNUMBER(E64),ISNUMBER(Q64)),E64*Q64,"")</f>
      </c>
      <c r="S64" s="23" t="str">
        <f>IF(AND(ISNUMBER(H64),ISNUMBER(Q64)),H64*Q64,"")</f>
      </c>
      <c r="T64" s="20"/>
      <c r="U64" s="20" t="str">
        <f>IF(ISNUMBER(Q64),"Price entered; verify source","Select exact item / quote")</f>
        <v>Select exact item / quote</v>
      </c>
    </row>
    <row r="65" ht="42" customHeight="1">
      <c r="A65" s="2" t="str">
        <v>P2</v>
      </c>
      <c r="B65" s="2" t="str">
        <v>Platform parts</v>
      </c>
      <c r="C65" s="15" t="str">
        <v>USB UART bridge</v>
      </c>
      <c r="D65" s="15" t="str">
        <v>Select platform</v>
      </c>
      <c r="E65" s="12" t="n">
        <v>10</v>
      </c>
      <c r="F65" s="12"/>
      <c r="G65" s="12"/>
      <c r="H65" s="13" t="str">
        <f>IF(AND(ISNUMBER(E65),ISNUMBER(F65),ISNUMBER(G65)),MAX(0,E65-F65-G65),"")</f>
      </c>
      <c r="I65" s="2" t="str">
        <v>pcs</v>
      </c>
      <c r="J65" s="2" t="str">
        <v>To select</v>
      </c>
      <c r="K65" s="14"/>
      <c r="L65" s="14" t="str">
        <v>Search supplier</v>
      </c>
      <c r="M65" s="15" t="str">
        <v>Select platform and MPN</v>
      </c>
      <c r="N65" s="15" t="str">
        <v>PC serial connection; choose drivers, package and USB interface.</v>
      </c>
      <c r="O65" s="15" t="str">
        <v>Small tape / kits</v>
      </c>
      <c r="Q65" s="22"/>
      <c r="R65" s="23" t="str">
        <f>IF(AND(ISNUMBER(E65),ISNUMBER(Q65)),E65*Q65,"")</f>
      </c>
      <c r="S65" s="23" t="str">
        <f>IF(AND(ISNUMBER(H65),ISNUMBER(Q65)),H65*Q65,"")</f>
      </c>
      <c r="T65" s="20"/>
      <c r="U65" s="20" t="str">
        <f>IF(ISNUMBER(Q65),"Price entered; verify source","Select exact item / quote")</f>
        <v>Select exact item / quote</v>
      </c>
    </row>
    <row r="66" ht="42" customHeight="1">
      <c r="A66" s="2" t="str">
        <v>P2</v>
      </c>
      <c r="B66" s="2" t="str">
        <v>Platform parts</v>
      </c>
      <c r="C66" s="15" t="str">
        <v>Buck regulator circuit kit</v>
      </c>
      <c r="D66" s="15" t="str">
        <v>Select platform</v>
      </c>
      <c r="E66" s="12" t="n">
        <v>10</v>
      </c>
      <c r="F66" s="12"/>
      <c r="G66" s="12"/>
      <c r="H66" s="13" t="str">
        <f>IF(AND(ISNUMBER(E66),ISNUMBER(F66),ISNUMBER(G66)),MAX(0,E66-F66-G66),"")</f>
      </c>
      <c r="I66" s="2" t="str">
        <v>kits</v>
      </c>
      <c r="J66" s="2" t="str">
        <v>To select</v>
      </c>
      <c r="K66" s="14"/>
      <c r="L66" s="14" t="str">
        <v>Search supplier</v>
      </c>
      <c r="M66" s="15" t="str">
        <v>Select platform and MPN</v>
      </c>
      <c r="N66" s="15" t="str">
        <v>Matched regulator, inductor and capacitor kit after circuit selection.</v>
      </c>
      <c r="O66" s="15" t="str">
        <v>Small tape / kits</v>
      </c>
      <c r="Q66" s="22"/>
      <c r="R66" s="23" t="str">
        <f>IF(AND(ISNUMBER(E66),ISNUMBER(Q66)),E66*Q66,"")</f>
      </c>
      <c r="S66" s="23" t="str">
        <f>IF(AND(ISNUMBER(H66),ISNUMBER(Q66)),H66*Q66,"")</f>
      </c>
      <c r="T66" s="20"/>
      <c r="U66" s="20" t="str">
        <f>IF(ISNUMBER(Q66),"Price entered; verify source","Select exact item / quote")</f>
        <v>Select exact item / quote</v>
      </c>
    </row>
    <row r="67" ht="42" customHeight="1">
      <c r="A67" s="2" t="str">
        <v>P2</v>
      </c>
      <c r="B67" s="2" t="str">
        <v>Platform parts</v>
      </c>
      <c r="C67" s="15" t="str">
        <v>IMU</v>
      </c>
      <c r="D67" s="15" t="str">
        <v>Select platform</v>
      </c>
      <c r="E67" s="12" t="n">
        <v>10</v>
      </c>
      <c r="F67" s="12"/>
      <c r="G67" s="12"/>
      <c r="H67" s="13" t="str">
        <f>IF(AND(ISNUMBER(E67),ISNUMBER(F67),ISNUMBER(G67)),MAX(0,E67-F67-G67),"")</f>
      </c>
      <c r="I67" s="2" t="str">
        <v>pcs</v>
      </c>
      <c r="J67" s="2" t="str">
        <v>To select</v>
      </c>
      <c r="K67" s="14"/>
      <c r="L67" s="14" t="str">
        <v>Search supplier</v>
      </c>
      <c r="M67" s="15" t="str">
        <v>Select platform and MPN</v>
      </c>
      <c r="N67" s="15" t="str">
        <v>Motion sensing; choose platform and calibration requirements.</v>
      </c>
      <c r="O67" s="15" t="str">
        <v>Small tape / kits</v>
      </c>
      <c r="Q67" s="22"/>
      <c r="R67" s="23" t="str">
        <f>IF(AND(ISNUMBER(E67),ISNUMBER(Q67)),E67*Q67,"")</f>
      </c>
      <c r="S67" s="23" t="str">
        <f>IF(AND(ISNUMBER(H67),ISNUMBER(Q67)),H67*Q67,"")</f>
      </c>
      <c r="T67" s="20"/>
      <c r="U67" s="20" t="str">
        <f>IF(ISNUMBER(Q67),"Price entered; verify source","Select exact item / quote")</f>
        <v>Select exact item / quote</v>
      </c>
    </row>
    <row r="68" ht="42" customHeight="1">
      <c r="A68" s="2" t="str">
        <v>P2</v>
      </c>
      <c r="B68" s="2" t="str">
        <v>Platform parts</v>
      </c>
      <c r="C68" s="15" t="str">
        <v>Crystal or oscillator</v>
      </c>
      <c r="D68" s="15" t="str">
        <v>Select platform</v>
      </c>
      <c r="E68" s="12" t="n">
        <v>25</v>
      </c>
      <c r="F68" s="12"/>
      <c r="G68" s="12"/>
      <c r="H68" s="13" t="str">
        <f>IF(AND(ISNUMBER(E68),ISNUMBER(F68),ISNUMBER(G68)),MAX(0,E68-F68-G68),"")</f>
      </c>
      <c r="I68" s="2" t="str">
        <v>pcs</v>
      </c>
      <c r="J68" s="2" t="str">
        <v>To select</v>
      </c>
      <c r="K68" s="14"/>
      <c r="L68" s="14" t="str">
        <v>Search supplier</v>
      </c>
      <c r="M68" s="15" t="str">
        <v>Select platform and MPN</v>
      </c>
      <c r="N68" s="15" t="str">
        <v>Clock source matched to MCU electrical and loading needs.</v>
      </c>
      <c r="O68" s="15" t="str">
        <v>Small tape / kits</v>
      </c>
      <c r="Q68" s="22"/>
      <c r="R68" s="23" t="str">
        <f>IF(AND(ISNUMBER(E68),ISNUMBER(Q68)),E68*Q68,"")</f>
      </c>
      <c r="S68" s="23" t="str">
        <f>IF(AND(ISNUMBER(H68),ISNUMBER(Q68)),H68*Q68,"")</f>
      </c>
      <c r="T68" s="20"/>
      <c r="U68" s="20" t="str">
        <f>IF(ISNUMBER(Q68),"Price entered; verify source","Select exact item / quote")</f>
        <v>Select exact item / quote</v>
      </c>
    </row>
    <row r="69" ht="42" customHeight="1">
      <c r="A69" s="2" t="str">
        <v>P1</v>
      </c>
      <c r="B69" s="2" t="str">
        <v>LEDs</v>
      </c>
      <c r="C69" s="15" t="str">
        <v>Red indicator LED</v>
      </c>
      <c r="D69" s="15" t="str">
        <v>0603 EIA</v>
      </c>
      <c r="E69" s="12" t="n">
        <v>250</v>
      </c>
      <c r="F69" s="12"/>
      <c r="G69" s="12"/>
      <c r="H69" s="13" t="str">
        <f>IF(AND(ISNUMBER(E69),ISNUMBER(F69),ISNUMBER(G69)),MAX(0,E69-F69-G69),"")</f>
      </c>
      <c r="I69" s="2" t="str">
        <v>pcs</v>
      </c>
      <c r="J69" s="2" t="str">
        <v>To select</v>
      </c>
      <c r="K69" s="14"/>
      <c r="L69" s="14" t="str">
        <v>Search supplier</v>
      </c>
      <c r="M69" s="15" t="str">
        <v>Select exact MPN</v>
      </c>
      <c r="N69" s="15" t="str">
        <v>Power/status indicator; select brightness and forward voltage.</v>
      </c>
      <c r="O69" s="15" t="str">
        <v>Custom reel / continuous tape</v>
      </c>
      <c r="Q69" s="22"/>
      <c r="R69" s="23" t="str">
        <f>IF(AND(ISNUMBER(E69),ISNUMBER(Q69)),E69*Q69,"")</f>
      </c>
      <c r="S69" s="23" t="str">
        <f>IF(AND(ISNUMBER(H69),ISNUMBER(Q69)),H69*Q69,"")</f>
      </c>
      <c r="T69" s="20"/>
      <c r="U69" s="20" t="str">
        <f>IF(ISNUMBER(Q69),"Price entered; verify source","Select exact item / quote")</f>
        <v>Select exact item / quote</v>
      </c>
    </row>
    <row r="70" ht="42" customHeight="1">
      <c r="A70" s="2" t="str">
        <v>P1</v>
      </c>
      <c r="B70" s="2" t="str">
        <v>LEDs</v>
      </c>
      <c r="C70" s="15" t="str">
        <v>Green indicator LED</v>
      </c>
      <c r="D70" s="15" t="str">
        <v>0603 EIA</v>
      </c>
      <c r="E70" s="12" t="n">
        <v>250</v>
      </c>
      <c r="F70" s="12"/>
      <c r="G70" s="12"/>
      <c r="H70" s="13" t="str">
        <f>IF(AND(ISNUMBER(E70),ISNUMBER(F70),ISNUMBER(G70)),MAX(0,E70-F70-G70),"")</f>
      </c>
      <c r="I70" s="2" t="str">
        <v>pcs</v>
      </c>
      <c r="J70" s="2" t="str">
        <v>To select</v>
      </c>
      <c r="K70" s="14"/>
      <c r="L70" s="14" t="str">
        <v>Search supplier</v>
      </c>
      <c r="M70" s="15" t="str">
        <v>Select exact MPN</v>
      </c>
      <c r="N70" s="15" t="str">
        <v>Power/status indicator; select brightness and forward voltage.</v>
      </c>
      <c r="O70" s="15" t="str">
        <v>Custom reel / continuous tape</v>
      </c>
      <c r="Q70" s="22"/>
      <c r="R70" s="23" t="str">
        <f>IF(AND(ISNUMBER(E70),ISNUMBER(Q70)),E70*Q70,"")</f>
      </c>
      <c r="S70" s="23" t="str">
        <f>IF(AND(ISNUMBER(H70),ISNUMBER(Q70)),H70*Q70,"")</f>
      </c>
      <c r="T70" s="20"/>
      <c r="U70" s="20" t="str">
        <f>IF(ISNUMBER(Q70),"Price entered; verify source","Select exact item / quote")</f>
        <v>Select exact item / quote</v>
      </c>
    </row>
    <row r="71" ht="42" customHeight="1">
      <c r="A71" s="2" t="str">
        <v>P1</v>
      </c>
      <c r="B71" s="2" t="str">
        <v>LEDs</v>
      </c>
      <c r="C71" s="15" t="str">
        <v>Blue indicator LED</v>
      </c>
      <c r="D71" s="15" t="str">
        <v>0603 EIA</v>
      </c>
      <c r="E71" s="12" t="n">
        <v>250</v>
      </c>
      <c r="F71" s="12"/>
      <c r="G71" s="12"/>
      <c r="H71" s="13" t="str">
        <f>IF(AND(ISNUMBER(E71),ISNUMBER(F71),ISNUMBER(G71)),MAX(0,E71-F71-G71),"")</f>
      </c>
      <c r="I71" s="2" t="str">
        <v>pcs</v>
      </c>
      <c r="J71" s="2" t="str">
        <v>To select</v>
      </c>
      <c r="K71" s="14"/>
      <c r="L71" s="14" t="str">
        <v>Search supplier</v>
      </c>
      <c r="M71" s="15" t="str">
        <v>Select exact MPN</v>
      </c>
      <c r="N71" s="15" t="str">
        <v>Power/status indicator; select brightness and forward voltage.</v>
      </c>
      <c r="O71" s="15" t="str">
        <v>Custom reel / continuous tape</v>
      </c>
      <c r="Q71" s="22"/>
      <c r="R71" s="23" t="str">
        <f>IF(AND(ISNUMBER(E71),ISNUMBER(Q71)),E71*Q71,"")</f>
      </c>
      <c r="S71" s="23" t="str">
        <f>IF(AND(ISNUMBER(H71),ISNUMBER(Q71)),H71*Q71,"")</f>
      </c>
      <c r="T71" s="20"/>
      <c r="U71" s="20" t="str">
        <f>IF(ISNUMBER(Q71),"Price entered; verify source","Select exact item / quote")</f>
        <v>Select exact item / quote</v>
      </c>
    </row>
    <row r="72" ht="42" customHeight="1">
      <c r="A72" s="2" t="str">
        <v>P1</v>
      </c>
      <c r="B72" s="2" t="str">
        <v>Transistors</v>
      </c>
      <c r="C72" s="15" t="str">
        <v>NPN switching transistor</v>
      </c>
      <c r="D72" s="15" t="str">
        <v>SOT-23</v>
      </c>
      <c r="E72" s="12" t="n">
        <v>100</v>
      </c>
      <c r="F72" s="12"/>
      <c r="G72" s="12"/>
      <c r="H72" s="13" t="str">
        <f>IF(AND(ISNUMBER(E72),ISNUMBER(F72),ISNUMBER(G72)),MAX(0,E72-F72-G72),"")</f>
      </c>
      <c r="I72" s="2" t="str">
        <v>pcs</v>
      </c>
      <c r="J72" s="2" t="str">
        <v>To select</v>
      </c>
      <c r="K72" s="14"/>
      <c r="L72" s="14" t="str">
        <v>Search supplier</v>
      </c>
      <c r="M72" s="15" t="str">
        <v>Select exact MPN</v>
      </c>
      <c r="N72" s="15" t="str">
        <v>Small load or signal switching; verify pinout and drive voltage.</v>
      </c>
      <c r="O72" s="15" t="str">
        <v>Custom reel / continuous tape</v>
      </c>
      <c r="Q72" s="22"/>
      <c r="R72" s="23" t="str">
        <f>IF(AND(ISNUMBER(E72),ISNUMBER(Q72)),E72*Q72,"")</f>
      </c>
      <c r="S72" s="23" t="str">
        <f>IF(AND(ISNUMBER(H72),ISNUMBER(Q72)),H72*Q72,"")</f>
      </c>
      <c r="T72" s="20"/>
      <c r="U72" s="20" t="str">
        <f>IF(ISNUMBER(Q72),"Price entered; verify source","Select exact item / quote")</f>
        <v>Select exact item / quote</v>
      </c>
    </row>
    <row r="73" ht="42" customHeight="1">
      <c r="A73" s="2" t="str">
        <v>P1</v>
      </c>
      <c r="B73" s="2" t="str">
        <v>Transistors</v>
      </c>
      <c r="C73" s="15" t="str">
        <v>PNP switching transistor</v>
      </c>
      <c r="D73" s="15" t="str">
        <v>SOT-23</v>
      </c>
      <c r="E73" s="12" t="n">
        <v>100</v>
      </c>
      <c r="F73" s="12"/>
      <c r="G73" s="12"/>
      <c r="H73" s="13" t="str">
        <f>IF(AND(ISNUMBER(E73),ISNUMBER(F73),ISNUMBER(G73)),MAX(0,E73-F73-G73),"")</f>
      </c>
      <c r="I73" s="2" t="str">
        <v>pcs</v>
      </c>
      <c r="J73" s="2" t="str">
        <v>To select</v>
      </c>
      <c r="K73" s="14"/>
      <c r="L73" s="14" t="str">
        <v>Search supplier</v>
      </c>
      <c r="M73" s="15" t="str">
        <v>Select exact MPN</v>
      </c>
      <c r="N73" s="15" t="str">
        <v>Small load or signal switching; verify pinout and drive voltage.</v>
      </c>
      <c r="O73" s="15" t="str">
        <v>Custom reel / continuous tape</v>
      </c>
      <c r="Q73" s="22"/>
      <c r="R73" s="23" t="str">
        <f>IF(AND(ISNUMBER(E73),ISNUMBER(Q73)),E73*Q73,"")</f>
      </c>
      <c r="S73" s="23" t="str">
        <f>IF(AND(ISNUMBER(H73),ISNUMBER(Q73)),H73*Q73,"")</f>
      </c>
      <c r="T73" s="20"/>
      <c r="U73" s="20" t="str">
        <f>IF(ISNUMBER(Q73),"Price entered; verify source","Select exact item / quote")</f>
        <v>Select exact item / quote</v>
      </c>
    </row>
    <row r="74" ht="42" customHeight="1">
      <c r="A74" s="2" t="str">
        <v>P1</v>
      </c>
      <c r="B74" s="2" t="str">
        <v>Transistors</v>
      </c>
      <c r="C74" s="15" t="str">
        <v>Logic-level N-MOSFET</v>
      </c>
      <c r="D74" s="15" t="str">
        <v>SOT-23</v>
      </c>
      <c r="E74" s="12" t="n">
        <v>100</v>
      </c>
      <c r="F74" s="12"/>
      <c r="G74" s="12"/>
      <c r="H74" s="13" t="str">
        <f>IF(AND(ISNUMBER(E74),ISNUMBER(F74),ISNUMBER(G74)),MAX(0,E74-F74-G74),"")</f>
      </c>
      <c r="I74" s="2" t="str">
        <v>pcs</v>
      </c>
      <c r="J74" s="2" t="str">
        <v>To select</v>
      </c>
      <c r="K74" s="14"/>
      <c r="L74" s="14" t="str">
        <v>Search supplier</v>
      </c>
      <c r="M74" s="15" t="str">
        <v>Select exact MPN</v>
      </c>
      <c r="N74" s="15" t="str">
        <v>Small load or signal switching; verify pinout and drive voltage.</v>
      </c>
      <c r="O74" s="15" t="str">
        <v>Custom reel / continuous tape</v>
      </c>
      <c r="Q74" s="22"/>
      <c r="R74" s="23" t="str">
        <f>IF(AND(ISNUMBER(E74),ISNUMBER(Q74)),E74*Q74,"")</f>
      </c>
      <c r="S74" s="23" t="str">
        <f>IF(AND(ISNUMBER(H74),ISNUMBER(Q74)),H74*Q74,"")</f>
      </c>
      <c r="T74" s="20"/>
      <c r="U74" s="20" t="str">
        <f>IF(ISNUMBER(Q74),"Price entered; verify source","Select exact item / quote")</f>
        <v>Select exact item / quote</v>
      </c>
    </row>
    <row r="75" ht="42" customHeight="1">
      <c r="A75" s="2" t="str">
        <v>P1</v>
      </c>
      <c r="B75" s="2" t="str">
        <v>Transistors</v>
      </c>
      <c r="C75" s="15" t="str">
        <v>Logic-level P-MOSFET</v>
      </c>
      <c r="D75" s="15" t="str">
        <v>SOT-23</v>
      </c>
      <c r="E75" s="12" t="n">
        <v>100</v>
      </c>
      <c r="F75" s="12"/>
      <c r="G75" s="12"/>
      <c r="H75" s="13" t="str">
        <f>IF(AND(ISNUMBER(E75),ISNUMBER(F75),ISNUMBER(G75)),MAX(0,E75-F75-G75),"")</f>
      </c>
      <c r="I75" s="2" t="str">
        <v>pcs</v>
      </c>
      <c r="J75" s="2" t="str">
        <v>To select</v>
      </c>
      <c r="K75" s="14"/>
      <c r="L75" s="14" t="str">
        <v>Search supplier</v>
      </c>
      <c r="M75" s="15" t="str">
        <v>Select exact MPN</v>
      </c>
      <c r="N75" s="15" t="str">
        <v>Small load or signal switching; verify pinout and drive voltage.</v>
      </c>
      <c r="O75" s="15" t="str">
        <v>Custom reel / continuous tape</v>
      </c>
      <c r="Q75" s="22"/>
      <c r="R75" s="23" t="str">
        <f>IF(AND(ISNUMBER(E75),ISNUMBER(Q75)),E75*Q75,"")</f>
      </c>
      <c r="S75" s="23" t="str">
        <f>IF(AND(ISNUMBER(H75),ISNUMBER(Q75)),H75*Q75,"")</f>
      </c>
      <c r="T75" s="20"/>
      <c r="U75" s="20" t="str">
        <f>IF(ISNUMBER(Q75),"Price entered; verify source","Select exact item / quote")</f>
        <v>Select exact item / quote</v>
      </c>
    </row>
    <row r="76" ht="42" customHeight="1">
      <c r="A76" s="2" t="str">
        <v>P1</v>
      </c>
      <c r="B76" s="2" t="str">
        <v>Diodes</v>
      </c>
      <c r="C76" s="15" t="str">
        <v>Fast small-signal diode</v>
      </c>
      <c r="D76" s="15" t="str">
        <v>Select package</v>
      </c>
      <c r="E76" s="12" t="n">
        <v>100</v>
      </c>
      <c r="F76" s="12"/>
      <c r="G76" s="12"/>
      <c r="H76" s="13" t="str">
        <f>IF(AND(ISNUMBER(E76),ISNUMBER(F76),ISNUMBER(G76)),MAX(0,E76-F76-G76),"")</f>
      </c>
      <c r="I76" s="2" t="str">
        <v>pcs</v>
      </c>
      <c r="J76" s="2" t="str">
        <v>To select</v>
      </c>
      <c r="K76" s="14"/>
      <c r="L76" s="14" t="str">
        <v>Search supplier</v>
      </c>
      <c r="M76" s="15" t="str">
        <v>Select exact MPN</v>
      </c>
      <c r="N76" s="15" t="str">
        <v>Signal steering or small current paths; choose ratings.</v>
      </c>
      <c r="O76" s="15" t="str">
        <v>Custom reel / continuous tape</v>
      </c>
      <c r="Q76" s="22"/>
      <c r="R76" s="23" t="str">
        <f>IF(AND(ISNUMBER(E76),ISNUMBER(Q76)),E76*Q76,"")</f>
      </c>
      <c r="S76" s="23" t="str">
        <f>IF(AND(ISNUMBER(H76),ISNUMBER(Q76)),H76*Q76,"")</f>
      </c>
      <c r="T76" s="20"/>
      <c r="U76" s="20" t="str">
        <f>IF(ISNUMBER(Q76),"Price entered; verify source","Select exact item / quote")</f>
        <v>Select exact item / quote</v>
      </c>
    </row>
    <row r="77" ht="42" customHeight="1">
      <c r="A77" s="2" t="str">
        <v>P1</v>
      </c>
      <c r="B77" s="2" t="str">
        <v>Diodes</v>
      </c>
      <c r="C77" s="15" t="str">
        <v>Small Schottky diode</v>
      </c>
      <c r="D77" s="15" t="str">
        <v>Select package</v>
      </c>
      <c r="E77" s="12" t="n">
        <v>100</v>
      </c>
      <c r="F77" s="12"/>
      <c r="G77" s="12"/>
      <c r="H77" s="13" t="str">
        <f>IF(AND(ISNUMBER(E77),ISNUMBER(F77),ISNUMBER(G77)),MAX(0,E77-F77-G77),"")</f>
      </c>
      <c r="I77" s="2" t="str">
        <v>pcs</v>
      </c>
      <c r="J77" s="2" t="str">
        <v>To select</v>
      </c>
      <c r="K77" s="14"/>
      <c r="L77" s="14" t="str">
        <v>Search supplier</v>
      </c>
      <c r="M77" s="15" t="str">
        <v>Select exact MPN</v>
      </c>
      <c r="N77" s="15" t="str">
        <v>Signal steering or small current paths; choose ratings.</v>
      </c>
      <c r="O77" s="15" t="str">
        <v>Custom reel / continuous tape</v>
      </c>
      <c r="Q77" s="22"/>
      <c r="R77" s="23" t="str">
        <f>IF(AND(ISNUMBER(E77),ISNUMBER(Q77)),E77*Q77,"")</f>
      </c>
      <c r="S77" s="23" t="str">
        <f>IF(AND(ISNUMBER(H77),ISNUMBER(Q77)),H77*Q77,"")</f>
      </c>
      <c r="T77" s="20"/>
      <c r="U77" s="20" t="str">
        <f>IF(ISNUMBER(Q77),"Price entered; verify source","Select exact item / quote")</f>
        <v>Select exact item / quote</v>
      </c>
    </row>
    <row r="78" ht="42" customHeight="1">
      <c r="A78" s="2" t="str">
        <v>P2</v>
      </c>
      <c r="B78" s="2" t="str">
        <v>Protection</v>
      </c>
      <c r="C78" s="15" t="str">
        <v>Low-capacitance ESD array</v>
      </c>
      <c r="D78" s="15" t="str">
        <v>Circuit-dependent</v>
      </c>
      <c r="E78" s="12" t="n">
        <v>50</v>
      </c>
      <c r="F78" s="12"/>
      <c r="G78" s="12"/>
      <c r="H78" s="13" t="str">
        <f>IF(AND(ISNUMBER(E78),ISNUMBER(F78),ISNUMBER(G78)),MAX(0,E78-F78-G78),"")</f>
      </c>
      <c r="I78" s="2" t="str">
        <v>pcs</v>
      </c>
      <c r="J78" s="2" t="str">
        <v>To select</v>
      </c>
      <c r="K78" s="14"/>
      <c r="L78" s="14" t="str">
        <v>Search supplier</v>
      </c>
      <c r="M78" s="15" t="str">
        <v>Select exact MPN</v>
      </c>
      <c r="N78" s="15" t="str">
        <v>Select working/clamp voltage and pulse rating for interface.</v>
      </c>
      <c r="O78" s="15" t="str">
        <v>Custom reel / continuous tape</v>
      </c>
      <c r="Q78" s="22"/>
      <c r="R78" s="23" t="str">
        <f>IF(AND(ISNUMBER(E78),ISNUMBER(Q78)),E78*Q78,"")</f>
      </c>
      <c r="S78" s="23" t="str">
        <f>IF(AND(ISNUMBER(H78),ISNUMBER(Q78)),H78*Q78,"")</f>
      </c>
      <c r="T78" s="20"/>
      <c r="U78" s="20" t="str">
        <f>IF(ISNUMBER(Q78),"Price entered; verify source","Select exact item / quote")</f>
        <v>Select exact item / quote</v>
      </c>
    </row>
    <row r="79" ht="42" customHeight="1">
      <c r="A79" s="2" t="str">
        <v>P2</v>
      </c>
      <c r="B79" s="2" t="str">
        <v>Protection</v>
      </c>
      <c r="C79" s="15" t="str">
        <v>Power-bus TVS diode</v>
      </c>
      <c r="D79" s="15" t="str">
        <v>Circuit-dependent</v>
      </c>
      <c r="E79" s="12" t="n">
        <v>50</v>
      </c>
      <c r="F79" s="12"/>
      <c r="G79" s="12"/>
      <c r="H79" s="13" t="str">
        <f>IF(AND(ISNUMBER(E79),ISNUMBER(F79),ISNUMBER(G79)),MAX(0,E79-F79-G79),"")</f>
      </c>
      <c r="I79" s="2" t="str">
        <v>pcs</v>
      </c>
      <c r="J79" s="2" t="str">
        <v>To select</v>
      </c>
      <c r="K79" s="14"/>
      <c r="L79" s="14" t="str">
        <v>Search supplier</v>
      </c>
      <c r="M79" s="15" t="str">
        <v>Select exact MPN</v>
      </c>
      <c r="N79" s="15" t="str">
        <v>Select working/clamp voltage and pulse rating for interface.</v>
      </c>
      <c r="O79" s="15" t="str">
        <v>Custom reel / continuous tape</v>
      </c>
      <c r="Q79" s="22"/>
      <c r="R79" s="23" t="str">
        <f>IF(AND(ISNUMBER(E79),ISNUMBER(Q79)),E79*Q79,"")</f>
      </c>
      <c r="S79" s="23" t="str">
        <f>IF(AND(ISNUMBER(H79),ISNUMBER(Q79)),H79*Q79,"")</f>
      </c>
      <c r="T79" s="20"/>
      <c r="U79" s="20" t="str">
        <f>IF(ISNUMBER(Q79),"Price entered; verify source","Select exact item / quote")</f>
        <v>Select exact item / quote</v>
      </c>
    </row>
    <row r="80" ht="42" customHeight="1">
      <c r="A80" s="2" t="str">
        <v>P1</v>
      </c>
      <c r="B80" s="2" t="str">
        <v>Interconnect</v>
      </c>
      <c r="C80" s="15" t="str">
        <v>2.54 mm male breakaway header</v>
      </c>
      <c r="D80" s="15" t="str">
        <v>Select footprint</v>
      </c>
      <c r="E80" s="12" t="n">
        <v>25</v>
      </c>
      <c r="F80" s="12"/>
      <c r="G80" s="12"/>
      <c r="H80" s="13" t="str">
        <f>IF(AND(ISNUMBER(E80),ISNUMBER(F80),ISNUMBER(G80)),MAX(0,E80-F80-G80),"")</f>
      </c>
      <c r="I80" s="2" t="str">
        <v>strips</v>
      </c>
      <c r="J80" s="2" t="str">
        <v>To select</v>
      </c>
      <c r="K80" s="14"/>
      <c r="L80" s="14" t="str">
        <v>Search supplier</v>
      </c>
      <c r="M80" s="15" t="str">
        <v>Select exact MPN</v>
      </c>
      <c r="N80" s="15" t="str">
        <v>Bench access, debugging and simple board connections.</v>
      </c>
      <c r="O80" s="15" t="str">
        <v>Confirm SMT or hand assembly</v>
      </c>
      <c r="Q80" s="22"/>
      <c r="R80" s="23" t="str">
        <f>IF(AND(ISNUMBER(E80),ISNUMBER(Q80)),E80*Q80,"")</f>
      </c>
      <c r="S80" s="23" t="str">
        <f>IF(AND(ISNUMBER(H80),ISNUMBER(Q80)),H80*Q80,"")</f>
      </c>
      <c r="T80" s="20"/>
      <c r="U80" s="20" t="str">
        <f>IF(ISNUMBER(Q80),"Price entered; verify source","Select exact item / quote")</f>
        <v>Select exact item / quote</v>
      </c>
    </row>
    <row r="81" ht="42" customHeight="1">
      <c r="A81" s="2" t="str">
        <v>P1</v>
      </c>
      <c r="B81" s="2" t="str">
        <v>Interconnect</v>
      </c>
      <c r="C81" s="15" t="str">
        <v>2.54 mm female header</v>
      </c>
      <c r="D81" s="15" t="str">
        <v>Select footprint</v>
      </c>
      <c r="E81" s="12" t="n">
        <v>25</v>
      </c>
      <c r="F81" s="12"/>
      <c r="G81" s="12"/>
      <c r="H81" s="13" t="str">
        <f>IF(AND(ISNUMBER(E81),ISNUMBER(F81),ISNUMBER(G81)),MAX(0,E81-F81-G81),"")</f>
      </c>
      <c r="I81" s="2" t="str">
        <v>strips</v>
      </c>
      <c r="J81" s="2" t="str">
        <v>To select</v>
      </c>
      <c r="K81" s="14"/>
      <c r="L81" s="14" t="str">
        <v>Search supplier</v>
      </c>
      <c r="M81" s="15" t="str">
        <v>Select exact MPN</v>
      </c>
      <c r="N81" s="15" t="str">
        <v>Bench access, debugging and simple board connections.</v>
      </c>
      <c r="O81" s="15" t="str">
        <v>Confirm SMT or hand assembly</v>
      </c>
      <c r="Q81" s="22"/>
      <c r="R81" s="23" t="str">
        <f>IF(AND(ISNUMBER(E81),ISNUMBER(Q81)),E81*Q81,"")</f>
      </c>
      <c r="S81" s="23" t="str">
        <f>IF(AND(ISNUMBER(H81),ISNUMBER(Q81)),H81*Q81,"")</f>
      </c>
      <c r="T81" s="20"/>
      <c r="U81" s="20" t="str">
        <f>IF(ISNUMBER(Q81),"Price entered; verify source","Select exact item / quote")</f>
        <v>Select exact item / quote</v>
      </c>
    </row>
    <row r="82" ht="42" customHeight="1">
      <c r="A82" s="2" t="str">
        <v>P1</v>
      </c>
      <c r="B82" s="2" t="str">
        <v>Interconnect</v>
      </c>
      <c r="C82" s="15" t="str">
        <v>2.54 mm jumper shunt</v>
      </c>
      <c r="D82" s="15" t="str">
        <v>Select footprint</v>
      </c>
      <c r="E82" s="12" t="n">
        <v>100</v>
      </c>
      <c r="F82" s="12"/>
      <c r="G82" s="12"/>
      <c r="H82" s="13" t="str">
        <f>IF(AND(ISNUMBER(E82),ISNUMBER(F82),ISNUMBER(G82)),MAX(0,E82-F82-G82),"")</f>
      </c>
      <c r="I82" s="2" t="str">
        <v>pcs</v>
      </c>
      <c r="J82" s="2" t="str">
        <v>To select</v>
      </c>
      <c r="K82" s="14"/>
      <c r="L82" s="14" t="str">
        <v>Search supplier</v>
      </c>
      <c r="M82" s="15" t="str">
        <v>Select exact MPN</v>
      </c>
      <c r="N82" s="15" t="str">
        <v>Bench access, debugging and simple board connections.</v>
      </c>
      <c r="O82" s="15" t="str">
        <v>Confirm SMT or hand assembly</v>
      </c>
      <c r="Q82" s="22"/>
      <c r="R82" s="23" t="str">
        <f>IF(AND(ISNUMBER(E82),ISNUMBER(Q82)),E82*Q82,"")</f>
      </c>
      <c r="S82" s="23" t="str">
        <f>IF(AND(ISNUMBER(H82),ISNUMBER(Q82)),H82*Q82,"")</f>
      </c>
      <c r="T82" s="20"/>
      <c r="U82" s="20" t="str">
        <f>IF(ISNUMBER(Q82),"Price entered; verify source","Select exact item / quote")</f>
        <v>Select exact item / quote</v>
      </c>
    </row>
    <row r="83" ht="42" customHeight="1">
      <c r="A83" s="2" t="str">
        <v>P1</v>
      </c>
      <c r="B83" s="2" t="str">
        <v>Interconnect</v>
      </c>
      <c r="C83" s="15" t="str">
        <v>PCB test point</v>
      </c>
      <c r="D83" s="15" t="str">
        <v>Select footprint</v>
      </c>
      <c r="E83" s="12" t="n">
        <v>100</v>
      </c>
      <c r="F83" s="12"/>
      <c r="G83" s="12"/>
      <c r="H83" s="13" t="str">
        <f>IF(AND(ISNUMBER(E83),ISNUMBER(F83),ISNUMBER(G83)),MAX(0,E83-F83-G83),"")</f>
      </c>
      <c r="I83" s="2" t="str">
        <v>pcs</v>
      </c>
      <c r="J83" s="2" t="str">
        <v>To select</v>
      </c>
      <c r="K83" s="14"/>
      <c r="L83" s="14" t="str">
        <v>Search supplier</v>
      </c>
      <c r="M83" s="15" t="str">
        <v>Select exact MPN</v>
      </c>
      <c r="N83" s="15" t="str">
        <v>Bench access, debugging and simple board connections.</v>
      </c>
      <c r="O83" s="15" t="str">
        <v>Confirm SMT or hand assembly</v>
      </c>
      <c r="Q83" s="22"/>
      <c r="R83" s="23" t="str">
        <f>IF(AND(ISNUMBER(E83),ISNUMBER(Q83)),E83*Q83,"")</f>
      </c>
      <c r="S83" s="23" t="str">
        <f>IF(AND(ISNUMBER(H83),ISNUMBER(Q83)),H83*Q83,"")</f>
      </c>
      <c r="T83" s="20"/>
      <c r="U83" s="20" t="str">
        <f>IF(ISNUMBER(Q83),"Price entered; verify source","Select exact item / quote")</f>
        <v>Select exact item / quote</v>
      </c>
    </row>
    <row r="84" ht="42" customHeight="1">
      <c r="A84" s="2" t="str">
        <v>P1</v>
      </c>
      <c r="B84" s="2" t="str">
        <v>Interconnect</v>
      </c>
      <c r="C84" s="15" t="str">
        <v>Tactile switch</v>
      </c>
      <c r="D84" s="15" t="str">
        <v>Select footprint</v>
      </c>
      <c r="E84" s="12" t="n">
        <v>50</v>
      </c>
      <c r="F84" s="12"/>
      <c r="G84" s="12"/>
      <c r="H84" s="13" t="str">
        <f>IF(AND(ISNUMBER(E84),ISNUMBER(F84),ISNUMBER(G84)),MAX(0,E84-F84-G84),"")</f>
      </c>
      <c r="I84" s="2" t="str">
        <v>pcs</v>
      </c>
      <c r="J84" s="2" t="str">
        <v>To select</v>
      </c>
      <c r="K84" s="14"/>
      <c r="L84" s="14" t="str">
        <v>Search supplier</v>
      </c>
      <c r="M84" s="15" t="str">
        <v>Select exact MPN</v>
      </c>
      <c r="N84" s="15" t="str">
        <v>Bench access, debugging and simple board connections.</v>
      </c>
      <c r="O84" s="15" t="str">
        <v>Confirm SMT or hand assembly</v>
      </c>
      <c r="Q84" s="22"/>
      <c r="R84" s="23" t="str">
        <f>IF(AND(ISNUMBER(E84),ISNUMBER(Q84)),E84*Q84,"")</f>
      </c>
      <c r="S84" s="23" t="str">
        <f>IF(AND(ISNUMBER(H84),ISNUMBER(Q84)),H84*Q84,"")</f>
      </c>
      <c r="T84" s="20"/>
      <c r="U84" s="20" t="str">
        <f>IF(ISNUMBER(Q84),"Price entered; verify source","Select exact item / quote")</f>
        <v>Select exact item / quote</v>
      </c>
    </row>
    <row r="85" ht="42" customHeight="1">
      <c r="A85" s="2" t="str">
        <v>P1</v>
      </c>
      <c r="B85" s="2" t="str">
        <v>Harness</v>
      </c>
      <c r="C85" s="15" t="str">
        <v>JST GH 2-position board connector</v>
      </c>
      <c r="D85" s="15" t="str">
        <v>1.25 mm pitch</v>
      </c>
      <c r="E85" s="12" t="n">
        <v>25</v>
      </c>
      <c r="F85" s="12"/>
      <c r="G85" s="12"/>
      <c r="H85" s="13" t="str">
        <f>IF(AND(ISNUMBER(E85),ISNUMBER(F85),ISNUMBER(G85)),MAX(0,E85-F85-G85),"")</f>
      </c>
      <c r="I85" s="2" t="str">
        <v>pcs</v>
      </c>
      <c r="J85" s="2" t="str">
        <v>JST GH 2 pin</v>
      </c>
      <c r="K85" s="14" t="str">
        <v>Manufacturer page</v>
      </c>
      <c r="L85" s="14" t="str">
        <v>Search supplier</v>
      </c>
      <c r="M85" s="15" t="str">
        <v>Select exact MPN</v>
      </c>
      <c r="N85" s="15" t="str">
        <v>Locking signal connector; select vertical or side-entry.</v>
      </c>
      <c r="O85" s="15" t="str">
        <v>Custom reel / continuous tape</v>
      </c>
      <c r="Q85" s="22"/>
      <c r="R85" s="23" t="str">
        <f>IF(AND(ISNUMBER(E85),ISNUMBER(Q85)),E85*Q85,"")</f>
      </c>
      <c r="S85" s="23" t="str">
        <f>IF(AND(ISNUMBER(H85),ISNUMBER(Q85)),H85*Q85,"")</f>
      </c>
      <c r="T85" s="20"/>
      <c r="U85" s="20" t="str">
        <f>IF(ISNUMBER(Q85),"Price entered; verify source","Select exact item / quote")</f>
        <v>Select exact item / quote</v>
      </c>
    </row>
    <row r="86" ht="42" customHeight="1">
      <c r="A86" s="2" t="str">
        <v>P1</v>
      </c>
      <c r="B86" s="2" t="str">
        <v>Harness</v>
      </c>
      <c r="C86" s="15" t="str">
        <v>JST GH 2-position housing</v>
      </c>
      <c r="D86" s="15" t="str">
        <v>Matching housing</v>
      </c>
      <c r="E86" s="12" t="n">
        <v>25</v>
      </c>
      <c r="F86" s="12"/>
      <c r="G86" s="12"/>
      <c r="H86" s="13" t="str">
        <f>IF(AND(ISNUMBER(E86),ISNUMBER(F86),ISNUMBER(G86)),MAX(0,E86-F86-G86),"")</f>
      </c>
      <c r="I86" s="2" t="str">
        <v>pcs</v>
      </c>
      <c r="J86" s="2" t="str">
        <v>JST GH 2 housing</v>
      </c>
      <c r="K86" s="14" t="str">
        <v>Manufacturer page</v>
      </c>
      <c r="L86" s="14" t="str">
        <v>Search supplier</v>
      </c>
      <c r="M86" s="15" t="str">
        <v>Select exact MPN</v>
      </c>
      <c r="N86" s="15" t="str">
        <v>Cable-side mate for matching GH board connector.</v>
      </c>
      <c r="O86" s="15" t="str">
        <v>Bag / manual</v>
      </c>
      <c r="Q86" s="22"/>
      <c r="R86" s="23" t="str">
        <f>IF(AND(ISNUMBER(E86),ISNUMBER(Q86)),E86*Q86,"")</f>
      </c>
      <c r="S86" s="23" t="str">
        <f>IF(AND(ISNUMBER(H86),ISNUMBER(Q86)),H86*Q86,"")</f>
      </c>
      <c r="T86" s="20"/>
      <c r="U86" s="20" t="str">
        <f>IF(ISNUMBER(Q86),"Price entered; verify source","Select exact item / quote")</f>
        <v>Select exact item / quote</v>
      </c>
    </row>
    <row r="87" ht="42" customHeight="1">
      <c r="A87" s="2" t="str">
        <v>P1</v>
      </c>
      <c r="B87" s="2" t="str">
        <v>Harness</v>
      </c>
      <c r="C87" s="15" t="str">
        <v>JST GH 3-position board connector</v>
      </c>
      <c r="D87" s="15" t="str">
        <v>1.25 mm pitch</v>
      </c>
      <c r="E87" s="12" t="n">
        <v>25</v>
      </c>
      <c r="F87" s="12"/>
      <c r="G87" s="12"/>
      <c r="H87" s="13" t="str">
        <f>IF(AND(ISNUMBER(E87),ISNUMBER(F87),ISNUMBER(G87)),MAX(0,E87-F87-G87),"")</f>
      </c>
      <c r="I87" s="2" t="str">
        <v>pcs</v>
      </c>
      <c r="J87" s="2" t="str">
        <v>JST GH 3 pin</v>
      </c>
      <c r="K87" s="14" t="str">
        <v>Manufacturer page</v>
      </c>
      <c r="L87" s="14" t="str">
        <v>Search supplier</v>
      </c>
      <c r="M87" s="15" t="str">
        <v>Select exact MPN</v>
      </c>
      <c r="N87" s="15" t="str">
        <v>Locking signal connector; select vertical or side-entry.</v>
      </c>
      <c r="O87" s="15" t="str">
        <v>Custom reel / continuous tape</v>
      </c>
      <c r="Q87" s="22"/>
      <c r="R87" s="23" t="str">
        <f>IF(AND(ISNUMBER(E87),ISNUMBER(Q87)),E87*Q87,"")</f>
      </c>
      <c r="S87" s="23" t="str">
        <f>IF(AND(ISNUMBER(H87),ISNUMBER(Q87)),H87*Q87,"")</f>
      </c>
      <c r="T87" s="20"/>
      <c r="U87" s="20" t="str">
        <f>IF(ISNUMBER(Q87),"Price entered; verify source","Select exact item / quote")</f>
        <v>Select exact item / quote</v>
      </c>
    </row>
    <row r="88" ht="42" customHeight="1">
      <c r="A88" s="2" t="str">
        <v>P1</v>
      </c>
      <c r="B88" s="2" t="str">
        <v>Harness</v>
      </c>
      <c r="C88" s="15" t="str">
        <v>JST GH 3-position housing</v>
      </c>
      <c r="D88" s="15" t="str">
        <v>Matching housing</v>
      </c>
      <c r="E88" s="12" t="n">
        <v>25</v>
      </c>
      <c r="F88" s="12"/>
      <c r="G88" s="12"/>
      <c r="H88" s="13" t="str">
        <f>IF(AND(ISNUMBER(E88),ISNUMBER(F88),ISNUMBER(G88)),MAX(0,E88-F88-G88),"")</f>
      </c>
      <c r="I88" s="2" t="str">
        <v>pcs</v>
      </c>
      <c r="J88" s="2" t="str">
        <v>JST GH 3 housing</v>
      </c>
      <c r="K88" s="14" t="str">
        <v>Manufacturer page</v>
      </c>
      <c r="L88" s="14" t="str">
        <v>Search supplier</v>
      </c>
      <c r="M88" s="15" t="str">
        <v>Select exact MPN</v>
      </c>
      <c r="N88" s="15" t="str">
        <v>Cable-side mate for matching GH board connector.</v>
      </c>
      <c r="O88" s="15" t="str">
        <v>Bag / manual</v>
      </c>
      <c r="Q88" s="22"/>
      <c r="R88" s="23" t="str">
        <f>IF(AND(ISNUMBER(E88),ISNUMBER(Q88)),E88*Q88,"")</f>
      </c>
      <c r="S88" s="23" t="str">
        <f>IF(AND(ISNUMBER(H88),ISNUMBER(Q88)),H88*Q88,"")</f>
      </c>
      <c r="T88" s="20"/>
      <c r="U88" s="20" t="str">
        <f>IF(ISNUMBER(Q88),"Price entered; verify source","Select exact item / quote")</f>
        <v>Select exact item / quote</v>
      </c>
    </row>
    <row r="89" ht="42" customHeight="1">
      <c r="A89" s="2" t="str">
        <v>P1</v>
      </c>
      <c r="B89" s="2" t="str">
        <v>Harness</v>
      </c>
      <c r="C89" s="15" t="str">
        <v>JST GH 4-position board connector</v>
      </c>
      <c r="D89" s="15" t="str">
        <v>1.25 mm pitch</v>
      </c>
      <c r="E89" s="12" t="n">
        <v>25</v>
      </c>
      <c r="F89" s="12"/>
      <c r="G89" s="12"/>
      <c r="H89" s="13" t="str">
        <f>IF(AND(ISNUMBER(E89),ISNUMBER(F89),ISNUMBER(G89)),MAX(0,E89-F89-G89),"")</f>
      </c>
      <c r="I89" s="2" t="str">
        <v>pcs</v>
      </c>
      <c r="J89" s="2" t="str">
        <v>JST GH 4 pin</v>
      </c>
      <c r="K89" s="14" t="str">
        <v>Manufacturer page</v>
      </c>
      <c r="L89" s="14" t="str">
        <v>Search supplier</v>
      </c>
      <c r="M89" s="15" t="str">
        <v>Select exact MPN</v>
      </c>
      <c r="N89" s="15" t="str">
        <v>Locking signal connector; select vertical or side-entry.</v>
      </c>
      <c r="O89" s="15" t="str">
        <v>Custom reel / continuous tape</v>
      </c>
      <c r="Q89" s="22"/>
      <c r="R89" s="23" t="str">
        <f>IF(AND(ISNUMBER(E89),ISNUMBER(Q89)),E89*Q89,"")</f>
      </c>
      <c r="S89" s="23" t="str">
        <f>IF(AND(ISNUMBER(H89),ISNUMBER(Q89)),H89*Q89,"")</f>
      </c>
      <c r="T89" s="20"/>
      <c r="U89" s="20" t="str">
        <f>IF(ISNUMBER(Q89),"Price entered; verify source","Select exact item / quote")</f>
        <v>Select exact item / quote</v>
      </c>
    </row>
    <row r="90" ht="42" customHeight="1">
      <c r="A90" s="2" t="str">
        <v>P1</v>
      </c>
      <c r="B90" s="2" t="str">
        <v>Harness</v>
      </c>
      <c r="C90" s="15" t="str">
        <v>JST GH 4-position housing</v>
      </c>
      <c r="D90" s="15" t="str">
        <v>Matching housing</v>
      </c>
      <c r="E90" s="12" t="n">
        <v>25</v>
      </c>
      <c r="F90" s="12"/>
      <c r="G90" s="12"/>
      <c r="H90" s="13" t="str">
        <f>IF(AND(ISNUMBER(E90),ISNUMBER(F90),ISNUMBER(G90)),MAX(0,E90-F90-G90),"")</f>
      </c>
      <c r="I90" s="2" t="str">
        <v>pcs</v>
      </c>
      <c r="J90" s="2" t="str">
        <v>JST GH 4 housing</v>
      </c>
      <c r="K90" s="14" t="str">
        <v>Manufacturer page</v>
      </c>
      <c r="L90" s="14" t="str">
        <v>Search supplier</v>
      </c>
      <c r="M90" s="15" t="str">
        <v>Select exact MPN</v>
      </c>
      <c r="N90" s="15" t="str">
        <v>Cable-side mate for matching GH board connector.</v>
      </c>
      <c r="O90" s="15" t="str">
        <v>Bag / manual</v>
      </c>
      <c r="Q90" s="22"/>
      <c r="R90" s="23" t="str">
        <f>IF(AND(ISNUMBER(E90),ISNUMBER(Q90)),E90*Q90,"")</f>
      </c>
      <c r="S90" s="23" t="str">
        <f>IF(AND(ISNUMBER(H90),ISNUMBER(Q90)),H90*Q90,"")</f>
      </c>
      <c r="T90" s="20"/>
      <c r="U90" s="20" t="str">
        <f>IF(ISNUMBER(Q90),"Price entered; verify source","Select exact item / quote")</f>
        <v>Select exact item / quote</v>
      </c>
    </row>
    <row r="91" ht="42" customHeight="1">
      <c r="A91" s="2" t="str">
        <v>P1</v>
      </c>
      <c r="B91" s="2" t="str">
        <v>Harness</v>
      </c>
      <c r="C91" s="15" t="str">
        <v>JST GH 6-position board connector</v>
      </c>
      <c r="D91" s="15" t="str">
        <v>1.25 mm pitch</v>
      </c>
      <c r="E91" s="12" t="n">
        <v>25</v>
      </c>
      <c r="F91" s="12"/>
      <c r="G91" s="12"/>
      <c r="H91" s="13" t="str">
        <f>IF(AND(ISNUMBER(E91),ISNUMBER(F91),ISNUMBER(G91)),MAX(0,E91-F91-G91),"")</f>
      </c>
      <c r="I91" s="2" t="str">
        <v>pcs</v>
      </c>
      <c r="J91" s="2" t="str">
        <v>JST GH 6 pin</v>
      </c>
      <c r="K91" s="14" t="str">
        <v>Manufacturer page</v>
      </c>
      <c r="L91" s="14" t="str">
        <v>Search supplier</v>
      </c>
      <c r="M91" s="15" t="str">
        <v>Select exact MPN</v>
      </c>
      <c r="N91" s="15" t="str">
        <v>Locking signal connector; select vertical or side-entry.</v>
      </c>
      <c r="O91" s="15" t="str">
        <v>Custom reel / continuous tape</v>
      </c>
      <c r="Q91" s="22"/>
      <c r="R91" s="23" t="str">
        <f>IF(AND(ISNUMBER(E91),ISNUMBER(Q91)),E91*Q91,"")</f>
      </c>
      <c r="S91" s="23" t="str">
        <f>IF(AND(ISNUMBER(H91),ISNUMBER(Q91)),H91*Q91,"")</f>
      </c>
      <c r="T91" s="20"/>
      <c r="U91" s="20" t="str">
        <f>IF(ISNUMBER(Q91),"Price entered; verify source","Select exact item / quote")</f>
        <v>Select exact item / quote</v>
      </c>
    </row>
    <row r="92" ht="42" customHeight="1">
      <c r="A92" s="2" t="str">
        <v>P1</v>
      </c>
      <c r="B92" s="2" t="str">
        <v>Harness</v>
      </c>
      <c r="C92" s="15" t="str">
        <v>JST GH 6-position housing</v>
      </c>
      <c r="D92" s="15" t="str">
        <v>Matching housing</v>
      </c>
      <c r="E92" s="12" t="n">
        <v>25</v>
      </c>
      <c r="F92" s="12"/>
      <c r="G92" s="12"/>
      <c r="H92" s="13" t="str">
        <f>IF(AND(ISNUMBER(E92),ISNUMBER(F92),ISNUMBER(G92)),MAX(0,E92-F92-G92),"")</f>
      </c>
      <c r="I92" s="2" t="str">
        <v>pcs</v>
      </c>
      <c r="J92" s="2" t="str">
        <v>JST GH 6 housing</v>
      </c>
      <c r="K92" s="14" t="str">
        <v>Manufacturer page</v>
      </c>
      <c r="L92" s="14" t="str">
        <v>Search supplier</v>
      </c>
      <c r="M92" s="15" t="str">
        <v>Select exact MPN</v>
      </c>
      <c r="N92" s="15" t="str">
        <v>Cable-side mate for matching GH board connector.</v>
      </c>
      <c r="O92" s="15" t="str">
        <v>Bag / manual</v>
      </c>
      <c r="Q92" s="22"/>
      <c r="R92" s="23" t="str">
        <f>IF(AND(ISNUMBER(E92),ISNUMBER(Q92)),E92*Q92,"")</f>
      </c>
      <c r="S92" s="23" t="str">
        <f>IF(AND(ISNUMBER(H92),ISNUMBER(Q92)),H92*Q92,"")</f>
      </c>
      <c r="T92" s="20"/>
      <c r="U92" s="20" t="str">
        <f>IF(ISNUMBER(Q92),"Price entered; verify source","Select exact item / quote")</f>
        <v>Select exact item / quote</v>
      </c>
    </row>
    <row r="93" ht="42" customHeight="1">
      <c r="A93" s="2" t="str">
        <v>P1</v>
      </c>
      <c r="B93" s="2" t="str">
        <v>Harness</v>
      </c>
      <c r="C93" s="15" t="str">
        <v>JST GH crimp contacts</v>
      </c>
      <c r="D93" s="15" t="str">
        <v>Match wire gauge</v>
      </c>
      <c r="E93" s="12" t="n">
        <v>500</v>
      </c>
      <c r="F93" s="12"/>
      <c r="G93" s="12"/>
      <c r="H93" s="13" t="str">
        <f>IF(AND(ISNUMBER(E93),ISNUMBER(F93),ISNUMBER(G93)),MAX(0,E93-F93-G93),"")</f>
      </c>
      <c r="I93" s="2" t="str">
        <v>pcs</v>
      </c>
      <c r="J93" s="2" t="str">
        <v>JST GH crimp contact</v>
      </c>
      <c r="K93" s="14" t="str">
        <v>Manufacturer page</v>
      </c>
      <c r="L93" s="14" t="str">
        <v>Search supplier</v>
      </c>
      <c r="M93" s="15" t="str">
        <v>Select exact MPN</v>
      </c>
      <c r="N93" s="15" t="str">
        <v>Cable termination; confirm contact and wire/tool compatibility.</v>
      </c>
      <c r="O93" s="15" t="str">
        <v>Strip / manual crimp</v>
      </c>
      <c r="Q93" s="22"/>
      <c r="R93" s="23" t="str">
        <f>IF(AND(ISNUMBER(E93),ISNUMBER(Q93)),E93*Q93,"")</f>
      </c>
      <c r="S93" s="23" t="str">
        <f>IF(AND(ISNUMBER(H93),ISNUMBER(Q93)),H93*Q93,"")</f>
      </c>
      <c r="T93" s="20"/>
      <c r="U93" s="20" t="str">
        <f>IF(ISNUMBER(Q93),"Price entered; verify source","Select exact item / quote")</f>
        <v>Select exact item / quote</v>
      </c>
    </row>
    <row r="94" ht="42" customHeight="1">
      <c r="A94" s="2" t="str">
        <v>P2</v>
      </c>
      <c r="B94" s="2" t="str">
        <v>Interconnect</v>
      </c>
      <c r="C94" s="15" t="str">
        <v>Power connector mating pair</v>
      </c>
      <c r="D94" s="15" t="str">
        <v>Mechanical choice</v>
      </c>
      <c r="E94" s="12" t="n">
        <v>20</v>
      </c>
      <c r="F94" s="12"/>
      <c r="G94" s="12"/>
      <c r="H94" s="13" t="str">
        <f>IF(AND(ISNUMBER(E94),ISNUMBER(F94),ISNUMBER(G94)),MAX(0,E94-F94-G94),"")</f>
      </c>
      <c r="I94" s="2" t="str">
        <v>pairs</v>
      </c>
      <c r="J94" s="2" t="str">
        <v>To select</v>
      </c>
      <c r="K94" s="14"/>
      <c r="L94" s="14" t="str">
        <v>Search supplier</v>
      </c>
      <c r="M94" s="15" t="str">
        <v>Select connector standard</v>
      </c>
      <c r="N94" s="15" t="str">
        <v>Select mating parts and orientation together.</v>
      </c>
      <c r="O94" s="15" t="str">
        <v>Confirm SMT or hand assembly</v>
      </c>
      <c r="Q94" s="22"/>
      <c r="R94" s="23" t="str">
        <f>IF(AND(ISNUMBER(E94),ISNUMBER(Q94)),E94*Q94,"")</f>
      </c>
      <c r="S94" s="23" t="str">
        <f>IF(AND(ISNUMBER(H94),ISNUMBER(Q94)),H94*Q94,"")</f>
      </c>
      <c r="T94" s="20"/>
      <c r="U94" s="20" t="str">
        <f>IF(ISNUMBER(Q94),"Price entered; verify source","Select exact item / quote")</f>
        <v>Select exact item / quote</v>
      </c>
    </row>
    <row r="95" ht="42" customHeight="1">
      <c r="A95" s="2" t="str">
        <v>P2</v>
      </c>
      <c r="B95" s="2" t="str">
        <v>Interconnect</v>
      </c>
      <c r="C95" s="15" t="str">
        <v>USB connector</v>
      </c>
      <c r="D95" s="15" t="str">
        <v>Mechanical choice</v>
      </c>
      <c r="E95" s="12" t="n">
        <v>20</v>
      </c>
      <c r="F95" s="12"/>
      <c r="G95" s="12"/>
      <c r="H95" s="13" t="str">
        <f>IF(AND(ISNUMBER(E95),ISNUMBER(F95),ISNUMBER(G95)),MAX(0,E95-F95-G95),"")</f>
      </c>
      <c r="I95" s="2" t="str">
        <v>pcs</v>
      </c>
      <c r="J95" s="2" t="str">
        <v>To select</v>
      </c>
      <c r="K95" s="14"/>
      <c r="L95" s="14" t="str">
        <v>Search supplier</v>
      </c>
      <c r="M95" s="15" t="str">
        <v>Select connector standard</v>
      </c>
      <c r="N95" s="15" t="str">
        <v>Select mating parts and orientation together.</v>
      </c>
      <c r="O95" s="15" t="str">
        <v>Confirm SMT or hand assembly</v>
      </c>
      <c r="Q95" s="22"/>
      <c r="R95" s="23" t="str">
        <f>IF(AND(ISNUMBER(E95),ISNUMBER(Q95)),E95*Q95,"")</f>
      </c>
      <c r="S95" s="23" t="str">
        <f>IF(AND(ISNUMBER(H95),ISNUMBER(Q95)),H95*Q95,"")</f>
      </c>
      <c r="T95" s="20"/>
      <c r="U95" s="20" t="str">
        <f>IF(ISNUMBER(Q95),"Price entered; verify source","Select exact item / quote")</f>
        <v>Select exact item / quote</v>
      </c>
    </row>
    <row r="96" ht="42" customHeight="1">
      <c r="A96" s="2" t="str">
        <v>P2</v>
      </c>
      <c r="B96" s="2" t="str">
        <v>Interconnect</v>
      </c>
      <c r="C96" s="15" t="str">
        <v>SWD programming connector</v>
      </c>
      <c r="D96" s="15" t="str">
        <v>Mechanical choice</v>
      </c>
      <c r="E96" s="12" t="n">
        <v>20</v>
      </c>
      <c r="F96" s="12"/>
      <c r="G96" s="12"/>
      <c r="H96" s="13" t="str">
        <f>IF(AND(ISNUMBER(E96),ISNUMBER(F96),ISNUMBER(G96)),MAX(0,E96-F96-G96),"")</f>
      </c>
      <c r="I96" s="2" t="str">
        <v>pcs</v>
      </c>
      <c r="J96" s="2" t="str">
        <v>To select</v>
      </c>
      <c r="K96" s="14"/>
      <c r="L96" s="14" t="str">
        <v>Search supplier</v>
      </c>
      <c r="M96" s="15" t="str">
        <v>Select connector standard</v>
      </c>
      <c r="N96" s="15" t="str">
        <v>Select mating parts and orientation together.</v>
      </c>
      <c r="O96" s="15" t="str">
        <v>Confirm SMT or hand assembly</v>
      </c>
      <c r="Q96" s="22"/>
      <c r="R96" s="23" t="str">
        <f>IF(AND(ISNUMBER(E96),ISNUMBER(Q96)),E96*Q96,"")</f>
      </c>
      <c r="S96" s="23" t="str">
        <f>IF(AND(ISNUMBER(H96),ISNUMBER(Q96)),H96*Q96,"")</f>
      </c>
      <c r="T96" s="20"/>
      <c r="U96" s="20" t="str">
        <f>IF(ISNUMBER(Q96),"Price entered; verify source","Select exact item / quote")</f>
        <v>Select exact item / quote</v>
      </c>
    </row>
    <row r="97" ht="42" customHeight="1">
      <c r="A97" s="2" t="str">
        <v>P2</v>
      </c>
      <c r="B97" s="2" t="str">
        <v>Interconnect</v>
      </c>
      <c r="C97" s="15" t="str">
        <v>RF connector</v>
      </c>
      <c r="D97" s="15" t="str">
        <v>Mechanical choice</v>
      </c>
      <c r="E97" s="12" t="n">
        <v>20</v>
      </c>
      <c r="F97" s="12"/>
      <c r="G97" s="12"/>
      <c r="H97" s="13" t="str">
        <f>IF(AND(ISNUMBER(E97),ISNUMBER(F97),ISNUMBER(G97)),MAX(0,E97-F97-G97),"")</f>
      </c>
      <c r="I97" s="2" t="str">
        <v>pcs</v>
      </c>
      <c r="J97" s="2" t="str">
        <v>To select</v>
      </c>
      <c r="K97" s="14"/>
      <c r="L97" s="14" t="str">
        <v>Search supplier</v>
      </c>
      <c r="M97" s="15" t="str">
        <v>Select connector standard</v>
      </c>
      <c r="N97" s="15" t="str">
        <v>Select mating parts and orientation together.</v>
      </c>
      <c r="O97" s="15" t="str">
        <v>Confirm SMT or hand assembly</v>
      </c>
      <c r="Q97" s="22"/>
      <c r="R97" s="23" t="str">
        <f>IF(AND(ISNUMBER(E97),ISNUMBER(Q97)),E97*Q97,"")</f>
      </c>
      <c r="S97" s="23" t="str">
        <f>IF(AND(ISNUMBER(H97),ISNUMBER(Q97)),H97*Q97,"")</f>
      </c>
      <c r="T97" s="20"/>
      <c r="U97" s="20" t="str">
        <f>IF(ISNUMBER(Q97),"Price entered; verify source","Select exact item / quote")</f>
        <v>Select exact item / quote</v>
      </c>
    </row>
  </sheetData>
  <conditionalFormatting sqref="H9:H97">
    <cfRule type="cellIs" dxfId="0" priority="1" operator="greaterThan">
      <formula>0</formula>
    </cfRule>
  </conditionalFormatting>
  <dataValidations count="4">
    <dataValidation type="whole" operator="between" sqref="E9:E97">
      <formula1>0</formula1>
      <formula2>10000000</formula2>
    </dataValidation>
    <dataValidation type="whole" operator="between" sqref="F9:F97">
      <formula1>0</formula1>
      <formula2>10000000</formula2>
    </dataValidation>
    <dataValidation type="whole" operator="between" sqref="G9:G97">
      <formula1>0</formula1>
      <formula2>10000000</formula2>
    </dataValidation>
    <dataValidation type="list" sqref="A9:A97">
      <formula1>"P1,P2"</formula1>
    </dataValidation>
  </dataValidations>
  <hyperlinks>
    <hyperlink ref="L9" r:id="procurementLink0"/>
    <hyperlink ref="L10" r:id="procurementLink1"/>
    <hyperlink ref="L11" r:id="procurementLink2"/>
    <hyperlink ref="L12" r:id="procurementLink3"/>
    <hyperlink ref="L13" r:id="procurementLink4"/>
    <hyperlink ref="L14" r:id="procurementLink5"/>
    <hyperlink ref="L15" r:id="procurementLink6"/>
    <hyperlink ref="L16" r:id="procurementLink7"/>
    <hyperlink ref="L17" r:id="procurementLink8"/>
    <hyperlink ref="L18" r:id="procurementLink9"/>
    <hyperlink ref="L19" r:id="procurementLink10"/>
    <hyperlink ref="L20" r:id="procurementLink11"/>
    <hyperlink ref="L21" r:id="procurementLink12"/>
    <hyperlink ref="L22" r:id="procurementLink13"/>
    <hyperlink ref="L23" r:id="procurementLink14"/>
    <hyperlink ref="L24" r:id="procurementLink15"/>
    <hyperlink ref="L25" r:id="procurementLink16"/>
    <hyperlink ref="L26" r:id="procurementLink17"/>
    <hyperlink ref="L27" r:id="procurementLink18"/>
    <hyperlink ref="L28" r:id="procurementLink19"/>
    <hyperlink ref="L29" r:id="procurementLink20"/>
    <hyperlink ref="L30" r:id="procurementLink21"/>
    <hyperlink ref="L31" r:id="procurementLink22"/>
    <hyperlink ref="L32" r:id="procurementLink23"/>
    <hyperlink ref="L33" r:id="procurementLink24"/>
    <hyperlink ref="L34" r:id="procurementLink25"/>
    <hyperlink ref="L35" r:id="procurementLink26"/>
    <hyperlink ref="L36" r:id="procurementLink27"/>
    <hyperlink ref="L37" r:id="procurementLink28"/>
    <hyperlink ref="L38" r:id="procurementLink29"/>
    <hyperlink ref="L39" r:id="procurementLink30"/>
    <hyperlink ref="L40" r:id="procurementLink31"/>
    <hyperlink ref="L41" r:id="procurementLink32"/>
    <hyperlink ref="L42" r:id="procurementLink33"/>
    <hyperlink ref="L43" r:id="procurementLink34"/>
    <hyperlink ref="L44" r:id="procurementLink35"/>
    <hyperlink ref="L45" r:id="procurementLink36"/>
    <hyperlink ref="L46" r:id="procurementLink37"/>
    <hyperlink ref="L47" r:id="procurementLink38"/>
    <hyperlink ref="L48" r:id="procurementLink39"/>
    <hyperlink ref="K49" r:id="procurementLink40"/>
    <hyperlink ref="L49" r:id="procurementLink41"/>
    <hyperlink ref="K50" r:id="procurementLink42"/>
    <hyperlink ref="L50" r:id="procurementLink43"/>
    <hyperlink ref="K51" r:id="procurementLink44"/>
    <hyperlink ref="L51" r:id="procurementLink45"/>
    <hyperlink ref="K52" r:id="procurementLink46"/>
    <hyperlink ref="L52" r:id="procurementLink47"/>
    <hyperlink ref="K53" r:id="procurementLink48"/>
    <hyperlink ref="L53" r:id="procurementLink49"/>
    <hyperlink ref="K54" r:id="procurementLink50"/>
    <hyperlink ref="L54" r:id="procurementLink51"/>
    <hyperlink ref="K55" r:id="procurementLink52"/>
    <hyperlink ref="L55" r:id="procurementLink53"/>
    <hyperlink ref="K56" r:id="procurementLink54"/>
    <hyperlink ref="L56" r:id="procurementLink55"/>
    <hyperlink ref="K57" r:id="procurementLink56"/>
    <hyperlink ref="L57" r:id="procurementLink57"/>
    <hyperlink ref="K58" r:id="procurementLink58"/>
    <hyperlink ref="L58" r:id="procurementLink59"/>
    <hyperlink ref="L59" r:id="procurementLink60"/>
    <hyperlink ref="L60" r:id="procurementLink61"/>
    <hyperlink ref="L61" r:id="procurementLink62"/>
    <hyperlink ref="L62" r:id="procurementLink63"/>
    <hyperlink ref="L63" r:id="procurementLink64"/>
    <hyperlink ref="L64" r:id="procurementLink65"/>
    <hyperlink ref="L65" r:id="procurementLink66"/>
    <hyperlink ref="L66" r:id="procurementLink67"/>
    <hyperlink ref="L67" r:id="procurementLink68"/>
    <hyperlink ref="L68" r:id="procurementLink69"/>
    <hyperlink ref="L69" r:id="procurementLink70"/>
    <hyperlink ref="L70" r:id="procurementLink71"/>
    <hyperlink ref="L71" r:id="procurementLink72"/>
    <hyperlink ref="L72" r:id="procurementLink73"/>
    <hyperlink ref="L73" r:id="procurementLink74"/>
    <hyperlink ref="L74" r:id="procurementLink75"/>
    <hyperlink ref="L75" r:id="procurementLink76"/>
    <hyperlink ref="L76" r:id="procurementLink77"/>
    <hyperlink ref="L77" r:id="procurementLink78"/>
    <hyperlink ref="L78" r:id="procurementLink79"/>
    <hyperlink ref="L79" r:id="procurementLink80"/>
    <hyperlink ref="L80" r:id="procurementLink81"/>
    <hyperlink ref="L81" r:id="procurementLink82"/>
    <hyperlink ref="L82" r:id="procurementLink83"/>
    <hyperlink ref="L83" r:id="procurementLink84"/>
    <hyperlink ref="L84" r:id="procurementLink85"/>
    <hyperlink ref="K85" r:id="procurementLink86"/>
    <hyperlink ref="L85" r:id="procurementLink87"/>
    <hyperlink ref="K86" r:id="procurementLink88"/>
    <hyperlink ref="L86" r:id="procurementLink89"/>
    <hyperlink ref="K87" r:id="procurementLink90"/>
    <hyperlink ref="L87" r:id="procurementLink91"/>
    <hyperlink ref="K88" r:id="procurementLink92"/>
    <hyperlink ref="L88" r:id="procurementLink93"/>
    <hyperlink ref="K89" r:id="procurementLink94"/>
    <hyperlink ref="L89" r:id="procurementLink95"/>
    <hyperlink ref="K90" r:id="procurementLink96"/>
    <hyperlink ref="L90" r:id="procurementLink97"/>
    <hyperlink ref="K91" r:id="procurementLink98"/>
    <hyperlink ref="L91" r:id="procurementLink99"/>
    <hyperlink ref="K92" r:id="procurementLink100"/>
    <hyperlink ref="L92" r:id="procurementLink101"/>
    <hyperlink ref="K93" r:id="procurementLink102"/>
    <hyperlink ref="L93" r:id="procurementLink103"/>
    <hyperlink ref="L94" r:id="procurementLink104"/>
    <hyperlink ref="L95" r:id="procurementLink105"/>
    <hyperlink ref="L96" r:id="procurementLink106"/>
    <hyperlink ref="L97" r:id="procurementLink107"/>
  </hyperlinks>
  <pageMargins left="0.7" right="0.7" top="0.75" bottom="0.75" header="0.3" footer="0.3"/>
  <tableParts count="1">
    <tablePart r:id="R79caaa10d0b04d06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03D59"/>
  </sheetPr>
  <sheetViews>
    <sheetView showGridLines="0" workbookViewId="0">
      <pane xSplit="3" ySplit="8" topLeftCell="D9" activePane="bottomRight" state="frozen"/>
    </sheetView>
  </sheetViews>
  <sheetFormatPr defaultRowHeight="15"/>
  <cols>
    <col min="1" max="1" width="9" hidden="0" customWidth="1"/>
    <col min="2" max="2" width="19" hidden="0" customWidth="1"/>
    <col min="3" max="3" width="43" hidden="0" customWidth="1"/>
    <col min="4" max="4" width="23" hidden="0" customWidth="1"/>
    <col min="5" max="5" width="13" hidden="0" customWidth="1"/>
    <col min="6" max="6" width="13" hidden="0" customWidth="1"/>
    <col min="7" max="7" width="13" hidden="0" customWidth="1"/>
    <col min="8" max="8" width="13" hidden="0" customWidth="1"/>
    <col min="9" max="9" width="12" hidden="0" customWidth="1"/>
    <col min="10" max="10" width="24" hidden="0" customWidth="1"/>
    <col min="11" max="11" width="23" hidden="0" customWidth="1"/>
    <col min="12" max="12" width="20" hidden="0" customWidth="1"/>
    <col min="13" max="13" width="29" hidden="0" customWidth="1"/>
    <col min="14" max="14" width="66" hidden="0" customWidth="1"/>
    <col min="15" max="15" width="34" hidden="0" customWidth="1"/>
    <col min="16" max="16" width="3" hidden="0" customWidth="1"/>
    <col min="17" max="17" width="24" hidden="0" customWidth="1"/>
    <col min="18" max="18" width="21" hidden="0" customWidth="1"/>
    <col min="19" max="19" width="21" hidden="0" customWidth="1"/>
    <col min="20" max="20" width="44" hidden="0" customWidth="1"/>
    <col min="21" max="21" width="33" hidden="0" customWidth="1"/>
  </cols>
  <sheetData>
    <row r="1" ht="3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32" customHeight="1">
      <c r="A2" s="3" t="str">
        <v>Lab equipment and assembly supplies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32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ht="32" customHeight="1">
      <c r="A4" s="2" t="str">
        <v>Targets are starter-stock recommendations per row, before inventory. P1 = first wave; P2 = expand after platform selection.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Q4" t="str">
        <v>Priced target subtotal</v>
      </c>
      <c r="R4" t="str">
        <f>IF(COUNT(Q9:Q41)=0,"",SUM(R9:R41))</f>
      </c>
    </row>
    <row r="5" ht="32" customHeight="1">
      <c r="A5" s="2" t="str">
        <v>Yellow cells are editable. Enter 0 for confirmed none. Gap stays blank until stock and open orders are recorded.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Q5" t="str">
        <v>Lines needing prices</v>
      </c>
      <c r="R5" t="n">
        <f>ROWS(Q9:Q41)-COUNT(Q9:Q41)</f>
        <v>33</v>
      </c>
    </row>
    <row r="6" ht="32" customHeight="1">
      <c r="A6" s="2" t="str">
        <v>Gap is a planning quantity, not order release. Round to supplier packs after exact MPN and carrier selection. Links do not confirm price or stock.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Q6" t="str">
        <v>Full target cost</v>
      </c>
      <c r="R6" t="str">
        <f>IF(AND(COUNT(E9:E41)=ROWS(E9:E41),COUNT(Q9:Q41)=ROWS(Q9:Q41)),SUM(R9:R41),"")</f>
      </c>
    </row>
    <row r="7" ht="32" customHeight="1">
      <c r="A7" s="2" t="str">
        <v>Prepared 14 Sep 2026. Count Ryan’s books only when identified and usable. Keep project-reserved stock out of free stock.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ht="42" customHeight="1">
      <c r="A8" s="8" t="str">
        <v>Priority</v>
      </c>
      <c r="B8" s="8" t="str">
        <v>Category</v>
      </c>
      <c r="C8" s="8" t="str">
        <v>Item / specification</v>
      </c>
      <c r="D8" s="8" t="str">
        <v>Package</v>
      </c>
      <c r="E8" s="8" t="str">
        <v>Target stock</v>
      </c>
      <c r="F8" s="8" t="str">
        <v>Free stock</v>
      </c>
      <c r="G8" s="8" t="str">
        <v>Open orders</v>
      </c>
      <c r="H8" s="8" t="str">
        <v>Stock gap</v>
      </c>
      <c r="I8" s="8" t="str">
        <v>Unit</v>
      </c>
      <c r="J8" s="8" t="str">
        <v>Candidate family / code</v>
      </c>
      <c r="K8" s="8" t="str">
        <v>Manufacturer</v>
      </c>
      <c r="L8" s="8" t="str">
        <v>Supplier search</v>
      </c>
      <c r="M8" s="8" t="str">
        <v>Selection needed</v>
      </c>
      <c r="N8" s="8" t="str">
        <v>Use</v>
      </c>
      <c r="O8" s="8" t="str">
        <v>Supply format</v>
      </c>
      <c r="Q8" s="18" t="str">
        <v>Unit cost USD</v>
      </c>
      <c r="R8" s="18" t="str">
        <v>Target cost USD</v>
      </c>
      <c r="S8" s="18" t="str">
        <v>Gap cost USD</v>
      </c>
      <c r="T8" s="18" t="str">
        <v>Price source / quote</v>
      </c>
      <c r="U8" s="18" t="str">
        <v>Price status</v>
      </c>
    </row>
    <row r="9" ht="42" customHeight="1">
      <c r="A9" s="2" t="str">
        <v>P1</v>
      </c>
      <c r="B9" s="2" t="str">
        <v>Lab equipment</v>
      </c>
      <c r="C9" s="15" t="str">
        <v>PnP feeders</v>
      </c>
      <c r="D9" s="15" t="str">
        <v>Match process</v>
      </c>
      <c r="E9" s="12"/>
      <c r="F9" s="12"/>
      <c r="G9" s="12"/>
      <c r="H9" s="13" t="str">
        <f>IF(AND(ISNUMBER(E9),ISNUMBER(F9),ISNUMBER(G9)),MAX(0,E9-F9-G9),"")</f>
      </c>
      <c r="I9" s="2" t="str">
        <v>feeders</v>
      </c>
      <c r="J9" s="2" t="str">
        <v>To select</v>
      </c>
      <c r="K9" s="14"/>
      <c r="L9" s="14" t="str">
        <v>Search supplier</v>
      </c>
      <c r="M9" s="15" t="str">
        <v>Machine model required</v>
      </c>
      <c r="N9" s="15" t="str">
        <v>Choose widths, pitch and slot count from machine and active BOM.</v>
      </c>
      <c r="O9" s="15" t="str">
        <v>Supplier packaging</v>
      </c>
      <c r="Q9" s="22"/>
      <c r="R9" s="23" t="str">
        <f>IF(AND(ISNUMBER(E9),ISNUMBER(Q9)),E9*Q9,"")</f>
      </c>
      <c r="S9" s="23" t="str">
        <f>IF(AND(ISNUMBER(H9),ISNUMBER(Q9)),H9*Q9,"")</f>
      </c>
      <c r="T9" s="20"/>
      <c r="U9" s="20" t="str">
        <f>IF(ISNUMBER(Q9),"Price entered; verify source","Select exact item / quote")</f>
        <v>Select exact item / quote</v>
      </c>
    </row>
    <row r="10" ht="42" customHeight="1">
      <c r="A10" s="2" t="str">
        <v>P1</v>
      </c>
      <c r="B10" s="2" t="str">
        <v>Lab equipment</v>
      </c>
      <c r="C10" s="15" t="str">
        <v>PnP nozzle set</v>
      </c>
      <c r="D10" s="15" t="str">
        <v>Match process</v>
      </c>
      <c r="E10" s="12" t="n">
        <v>1</v>
      </c>
      <c r="F10" s="12"/>
      <c r="G10" s="12"/>
      <c r="H10" s="13" t="str">
        <f>IF(AND(ISNUMBER(E10),ISNUMBER(F10),ISNUMBER(G10)),MAX(0,E10-F10-G10),"")</f>
      </c>
      <c r="I10" s="2" t="str">
        <v>sets</v>
      </c>
      <c r="J10" s="2" t="str">
        <v>To select</v>
      </c>
      <c r="K10" s="14"/>
      <c r="L10" s="14" t="str">
        <v>Search supplier</v>
      </c>
      <c r="M10" s="15" t="str">
        <v>Machine model required</v>
      </c>
      <c r="N10" s="15" t="str">
        <v>Choose a set matched to machine and component range.</v>
      </c>
      <c r="O10" s="15" t="str">
        <v>Supplier packaging</v>
      </c>
      <c r="Q10" s="22"/>
      <c r="R10" s="23" t="str">
        <f>IF(AND(ISNUMBER(E10),ISNUMBER(Q10)),E10*Q10,"")</f>
      </c>
      <c r="S10" s="23" t="str">
        <f>IF(AND(ISNUMBER(H10),ISNUMBER(Q10)),H10*Q10,"")</f>
      </c>
      <c r="T10" s="20"/>
      <c r="U10" s="20" t="str">
        <f>IF(ISNUMBER(Q10),"Price entered; verify source","Select exact item / quote")</f>
        <v>Select exact item / quote</v>
      </c>
    </row>
    <row r="11" ht="42" customHeight="1">
      <c r="A11" s="2" t="str">
        <v>P1</v>
      </c>
      <c r="B11" s="2" t="str">
        <v>Lab equipment</v>
      </c>
      <c r="C11" s="15" t="str">
        <v>Cut-tape fixture</v>
      </c>
      <c r="D11" s="15" t="str">
        <v>Match process</v>
      </c>
      <c r="E11" s="12" t="n">
        <v>1</v>
      </c>
      <c r="F11" s="12"/>
      <c r="G11" s="12"/>
      <c r="H11" s="13" t="str">
        <f>IF(AND(ISNUMBER(E11),ISNUMBER(F11),ISNUMBER(G11)),MAX(0,E11-F11-G11),"")</f>
      </c>
      <c r="I11" s="2" t="str">
        <v>sets</v>
      </c>
      <c r="J11" s="2" t="str">
        <v>To select</v>
      </c>
      <c r="K11" s="14"/>
      <c r="L11" s="14" t="str">
        <v>Search supplier</v>
      </c>
      <c r="M11" s="15" t="str">
        <v>Machine model required</v>
      </c>
      <c r="N11" s="15" t="str">
        <v>Only if machine supports short-tape mounting.</v>
      </c>
      <c r="O11" s="15" t="str">
        <v>Supplier packaging</v>
      </c>
      <c r="Q11" s="22"/>
      <c r="R11" s="23" t="str">
        <f>IF(AND(ISNUMBER(E11),ISNUMBER(Q11)),E11*Q11,"")</f>
      </c>
      <c r="S11" s="23" t="str">
        <f>IF(AND(ISNUMBER(H11),ISNUMBER(Q11)),H11*Q11,"")</f>
      </c>
      <c r="T11" s="20"/>
      <c r="U11" s="20" t="str">
        <f>IF(ISNUMBER(Q11),"Price entered; verify source","Select exact item / quote")</f>
        <v>Select exact item / quote</v>
      </c>
    </row>
    <row r="12" ht="42" customHeight="1">
      <c r="A12" s="2" t="str">
        <v>P1</v>
      </c>
      <c r="B12" s="2" t="str">
        <v>Lab equipment</v>
      </c>
      <c r="C12" s="15" t="str">
        <v>Tape leader and splice supplies</v>
      </c>
      <c r="D12" s="15" t="str">
        <v>Match process</v>
      </c>
      <c r="E12" s="12" t="n">
        <v>1</v>
      </c>
      <c r="F12" s="12"/>
      <c r="G12" s="12"/>
      <c r="H12" s="13" t="str">
        <f>IF(AND(ISNUMBER(E12),ISNUMBER(F12),ISNUMBER(G12)),MAX(0,E12-F12-G12),"")</f>
      </c>
      <c r="I12" s="2" t="str">
        <v>kits</v>
      </c>
      <c r="J12" s="2" t="str">
        <v>To select</v>
      </c>
      <c r="K12" s="14"/>
      <c r="L12" s="14" t="str">
        <v>Search supplier</v>
      </c>
      <c r="M12" s="15" t="str">
        <v>Machine model required</v>
      </c>
      <c r="N12" s="15" t="str">
        <v>Match selected carrier widths and feeder method.</v>
      </c>
      <c r="O12" s="15" t="str">
        <v>Supplier packaging</v>
      </c>
      <c r="Q12" s="22"/>
      <c r="R12" s="23" t="str">
        <f>IF(AND(ISNUMBER(E12),ISNUMBER(Q12)),E12*Q12,"")</f>
      </c>
      <c r="S12" s="23" t="str">
        <f>IF(AND(ISNUMBER(H12),ISNUMBER(Q12)),H12*Q12,"")</f>
      </c>
      <c r="T12" s="20"/>
      <c r="U12" s="20" t="str">
        <f>IF(ISNUMBER(Q12),"Price entered; verify source","Select exact item / quote")</f>
        <v>Select exact item / quote</v>
      </c>
    </row>
    <row r="13" ht="42" customHeight="1">
      <c r="A13" s="2" t="str">
        <v>P1</v>
      </c>
      <c r="B13" s="2" t="str">
        <v>Lab equipment</v>
      </c>
      <c r="C13" s="15" t="str">
        <v>Reel storage rack</v>
      </c>
      <c r="D13" s="15" t="str">
        <v>Match process</v>
      </c>
      <c r="E13" s="12" t="n">
        <v>1</v>
      </c>
      <c r="F13" s="12"/>
      <c r="G13" s="12"/>
      <c r="H13" s="13" t="str">
        <f>IF(AND(ISNUMBER(E13),ISNUMBER(F13),ISNUMBER(G13)),MAX(0,E13-F13-G13),"")</f>
      </c>
      <c r="I13" s="2" t="str">
        <v>units</v>
      </c>
      <c r="J13" s="2" t="str">
        <v>To select</v>
      </c>
      <c r="K13" s="14"/>
      <c r="L13" s="14" t="str">
        <v>Search supplier</v>
      </c>
      <c r="M13" s="15" t="str">
        <v>Select capacity</v>
      </c>
      <c r="N13" s="15" t="str">
        <v>Size after reel count and diameters are known.</v>
      </c>
      <c r="O13" s="15" t="str">
        <v>Supplier packaging</v>
      </c>
      <c r="Q13" s="22"/>
      <c r="R13" s="23" t="str">
        <f>IF(AND(ISNUMBER(E13),ISNUMBER(Q13)),E13*Q13,"")</f>
      </c>
      <c r="S13" s="23" t="str">
        <f>IF(AND(ISNUMBER(H13),ISNUMBER(Q13)),H13*Q13,"")</f>
      </c>
      <c r="T13" s="20"/>
      <c r="U13" s="20" t="str">
        <f>IF(ISNUMBER(Q13),"Price entered; verify source","Select exact item / quote")</f>
        <v>Select exact item / quote</v>
      </c>
    </row>
    <row r="14" ht="42" customHeight="1">
      <c r="A14" s="2" t="str">
        <v>P1</v>
      </c>
      <c r="B14" s="2" t="str">
        <v>Lab equipment</v>
      </c>
      <c r="C14" s="15" t="str">
        <v>Component label printer</v>
      </c>
      <c r="D14" s="15" t="str">
        <v>Match process</v>
      </c>
      <c r="E14" s="12" t="n">
        <v>1</v>
      </c>
      <c r="F14" s="12"/>
      <c r="G14" s="12"/>
      <c r="H14" s="13" t="str">
        <f>IF(AND(ISNUMBER(E14),ISNUMBER(F14),ISNUMBER(G14)),MAX(0,E14-F14-G14),"")</f>
      </c>
      <c r="I14" s="2" t="str">
        <v>units</v>
      </c>
      <c r="J14" s="2" t="str">
        <v>To select</v>
      </c>
      <c r="K14" s="14"/>
      <c r="L14" s="14" t="str">
        <v>Search supplier</v>
      </c>
      <c r="M14" s="15" t="str">
        <v>Select model/spec</v>
      </c>
      <c r="N14" s="15" t="str">
        <v>MPN, lot, quantity, location and stock ID labels.</v>
      </c>
      <c r="O14" s="15" t="str">
        <v>Supplier packaging</v>
      </c>
      <c r="Q14" s="22"/>
      <c r="R14" s="23" t="str">
        <f>IF(AND(ISNUMBER(E14),ISNUMBER(Q14)),E14*Q14,"")</f>
      </c>
      <c r="S14" s="23" t="str">
        <f>IF(AND(ISNUMBER(H14),ISNUMBER(Q14)),H14*Q14,"")</f>
      </c>
      <c r="T14" s="20"/>
      <c r="U14" s="20" t="str">
        <f>IF(ISNUMBER(Q14),"Price entered; verify source","Select exact item / quote")</f>
        <v>Select exact item / quote</v>
      </c>
    </row>
    <row r="15" ht="42" customHeight="1">
      <c r="A15" s="2" t="str">
        <v>P1</v>
      </c>
      <c r="B15" s="2" t="str">
        <v>Lab equipment</v>
      </c>
      <c r="C15" s="15" t="str">
        <v>ESD component storage bins</v>
      </c>
      <c r="D15" s="15" t="str">
        <v>Match process</v>
      </c>
      <c r="E15" s="12" t="n">
        <v>1</v>
      </c>
      <c r="F15" s="12"/>
      <c r="G15" s="12"/>
      <c r="H15" s="13" t="str">
        <f>IF(AND(ISNUMBER(E15),ISNUMBER(F15),ISNUMBER(G15)),MAX(0,E15-F15-G15),"")</f>
      </c>
      <c r="I15" s="2" t="str">
        <v>sets</v>
      </c>
      <c r="J15" s="2" t="str">
        <v>To select</v>
      </c>
      <c r="K15" s="14"/>
      <c r="L15" s="14" t="str">
        <v>Search supplier</v>
      </c>
      <c r="M15" s="15" t="str">
        <v>Select capacity</v>
      </c>
      <c r="N15" s="15" t="str">
        <v>Store identifiable parts, separate project reservations.</v>
      </c>
      <c r="O15" s="15" t="str">
        <v>Supplier packaging</v>
      </c>
      <c r="Q15" s="22"/>
      <c r="R15" s="23" t="str">
        <f>IF(AND(ISNUMBER(E15),ISNUMBER(Q15)),E15*Q15,"")</f>
      </c>
      <c r="S15" s="23" t="str">
        <f>IF(AND(ISNUMBER(H15),ISNUMBER(Q15)),H15*Q15,"")</f>
      </c>
      <c r="T15" s="20"/>
      <c r="U15" s="20" t="str">
        <f>IF(ISNUMBER(Q15),"Price entered; verify source","Select exact item / quote")</f>
        <v>Select exact item / quote</v>
      </c>
    </row>
    <row r="16" ht="42" customHeight="1">
      <c r="A16" s="2" t="str">
        <v>P1</v>
      </c>
      <c r="B16" s="2" t="str">
        <v>Lab equipment</v>
      </c>
      <c r="C16" s="15" t="str">
        <v>ESD mat and wrist strap kit</v>
      </c>
      <c r="D16" s="15" t="str">
        <v>Match process</v>
      </c>
      <c r="E16" s="12" t="n">
        <v>1</v>
      </c>
      <c r="F16" s="12"/>
      <c r="G16" s="12"/>
      <c r="H16" s="13" t="str">
        <f>IF(AND(ISNUMBER(E16),ISNUMBER(F16),ISNUMBER(G16)),MAX(0,E16-F16-G16),"")</f>
      </c>
      <c r="I16" s="2" t="str">
        <v>sets</v>
      </c>
      <c r="J16" s="2" t="str">
        <v>To select</v>
      </c>
      <c r="K16" s="14"/>
      <c r="L16" s="14" t="str">
        <v>Search supplier</v>
      </c>
      <c r="M16" s="15" t="str">
        <v>Check existing equipment</v>
      </c>
      <c r="N16" s="15" t="str">
        <v>One starter assembly workstation.</v>
      </c>
      <c r="O16" s="15" t="str">
        <v>Supplier packaging</v>
      </c>
      <c r="Q16" s="22"/>
      <c r="R16" s="23" t="str">
        <f>IF(AND(ISNUMBER(E16),ISNUMBER(Q16)),E16*Q16,"")</f>
      </c>
      <c r="S16" s="23" t="str">
        <f>IF(AND(ISNUMBER(H16),ISNUMBER(Q16)),H16*Q16,"")</f>
      </c>
      <c r="T16" s="20"/>
      <c r="U16" s="20" t="str">
        <f>IF(ISNUMBER(Q16),"Price entered; verify source","Select exact item / quote")</f>
        <v>Select exact item / quote</v>
      </c>
    </row>
    <row r="17" ht="42" customHeight="1">
      <c r="A17" s="2" t="str">
        <v>P1</v>
      </c>
      <c r="B17" s="2" t="str">
        <v>Lab equipment</v>
      </c>
      <c r="C17" s="15" t="str">
        <v>Moisture barrier bags desiccant humidity cards</v>
      </c>
      <c r="D17" s="15" t="str">
        <v>Match process</v>
      </c>
      <c r="E17" s="12" t="n">
        <v>1</v>
      </c>
      <c r="F17" s="12"/>
      <c r="G17" s="12"/>
      <c r="H17" s="13" t="str">
        <f>IF(AND(ISNUMBER(E17),ISNUMBER(F17),ISNUMBER(G17)),MAX(0,E17-F17-G17),"")</f>
      </c>
      <c r="I17" s="2" t="str">
        <v>kits</v>
      </c>
      <c r="J17" s="2" t="str">
        <v>To select</v>
      </c>
      <c r="K17" s="14"/>
      <c r="L17" s="14" t="str">
        <v>Search supplier</v>
      </c>
      <c r="M17" s="15" t="str">
        <v>Select model/spec</v>
      </c>
      <c r="N17" s="15" t="str">
        <v>Match manufacturer handling requirements.</v>
      </c>
      <c r="O17" s="15" t="str">
        <v>Supplier packaging</v>
      </c>
      <c r="Q17" s="22"/>
      <c r="R17" s="23" t="str">
        <f>IF(AND(ISNUMBER(E17),ISNUMBER(Q17)),E17*Q17,"")</f>
      </c>
      <c r="S17" s="23" t="str">
        <f>IF(AND(ISNUMBER(H17),ISNUMBER(Q17)),H17*Q17,"")</f>
      </c>
      <c r="T17" s="20"/>
      <c r="U17" s="20" t="str">
        <f>IF(ISNUMBER(Q17),"Price entered; verify source","Select exact item / quote")</f>
        <v>Select exact item / quote</v>
      </c>
    </row>
    <row r="18" ht="42" customHeight="1">
      <c r="A18" s="2" t="str">
        <v>P1</v>
      </c>
      <c r="B18" s="2" t="str">
        <v>Lab equipment</v>
      </c>
      <c r="C18" s="15" t="str">
        <v>Dry cabinet</v>
      </c>
      <c r="D18" s="15" t="str">
        <v>Match process</v>
      </c>
      <c r="E18" s="12" t="n">
        <v>1</v>
      </c>
      <c r="F18" s="12"/>
      <c r="G18" s="12"/>
      <c r="H18" s="13" t="str">
        <f>IF(AND(ISNUMBER(E18),ISNUMBER(F18),ISNUMBER(G18)),MAX(0,E18-F18-G18),"")</f>
      </c>
      <c r="I18" s="2" t="str">
        <v>units</v>
      </c>
      <c r="J18" s="2" t="str">
        <v>To select</v>
      </c>
      <c r="K18" s="14"/>
      <c r="L18" s="14" t="str">
        <v>Search supplier</v>
      </c>
      <c r="M18" s="15" t="str">
        <v>Check existing equipment</v>
      </c>
      <c r="N18" s="15" t="str">
        <v>Quote if component moisture requirements and usage justify it.</v>
      </c>
      <c r="O18" s="15" t="str">
        <v>Supplier packaging</v>
      </c>
      <c r="Q18" s="22"/>
      <c r="R18" s="23" t="str">
        <f>IF(AND(ISNUMBER(E18),ISNUMBER(Q18)),E18*Q18,"")</f>
      </c>
      <c r="S18" s="23" t="str">
        <f>IF(AND(ISNUMBER(H18),ISNUMBER(Q18)),H18*Q18,"")</f>
      </c>
      <c r="T18" s="20"/>
      <c r="U18" s="20" t="str">
        <f>IF(ISNUMBER(Q18),"Price entered; verify source","Select exact item / quote")</f>
        <v>Select exact item / quote</v>
      </c>
    </row>
    <row r="19" ht="42" customHeight="1">
      <c r="A19" s="2" t="str">
        <v>P1</v>
      </c>
      <c r="B19" s="2" t="str">
        <v>Lab equipment</v>
      </c>
      <c r="C19" s="15" t="str">
        <v>Solder paste</v>
      </c>
      <c r="D19" s="15" t="str">
        <v>Match process</v>
      </c>
      <c r="E19" s="12" t="n">
        <v>1</v>
      </c>
      <c r="F19" s="12"/>
      <c r="G19" s="12"/>
      <c r="H19" s="13" t="str">
        <f>IF(AND(ISNUMBER(E19),ISNUMBER(F19),ISNUMBER(G19)),MAX(0,E19-F19-G19),"")</f>
      </c>
      <c r="I19" s="2" t="str">
        <v>containers</v>
      </c>
      <c r="J19" s="2" t="str">
        <v>To select</v>
      </c>
      <c r="K19" s="14"/>
      <c r="L19" s="14" t="str">
        <v>Search supplier</v>
      </c>
      <c r="M19" s="15" t="str">
        <v>Select process</v>
      </c>
      <c r="N19" s="15" t="str">
        <v>Select alloy/flux/type and container size for near-term builds.</v>
      </c>
      <c r="O19" s="15" t="str">
        <v>Supplier packaging</v>
      </c>
      <c r="Q19" s="22"/>
      <c r="R19" s="23" t="str">
        <f>IF(AND(ISNUMBER(E19),ISNUMBER(Q19)),E19*Q19,"")</f>
      </c>
      <c r="S19" s="23" t="str">
        <f>IF(AND(ISNUMBER(H19),ISNUMBER(Q19)),H19*Q19,"")</f>
      </c>
      <c r="T19" s="20"/>
      <c r="U19" s="20" t="str">
        <f>IF(ISNUMBER(Q19),"Price entered; verify source","Select exact item / quote")</f>
        <v>Select exact item / quote</v>
      </c>
    </row>
    <row r="20" ht="42" customHeight="1">
      <c r="A20" s="2" t="str">
        <v>P1</v>
      </c>
      <c r="B20" s="2" t="str">
        <v>Lab equipment</v>
      </c>
      <c r="C20" s="15" t="str">
        <v>Stencil printer or alignment fixture</v>
      </c>
      <c r="D20" s="15" t="str">
        <v>Match process</v>
      </c>
      <c r="E20" s="12" t="n">
        <v>1</v>
      </c>
      <c r="F20" s="12"/>
      <c r="G20" s="12"/>
      <c r="H20" s="13" t="str">
        <f>IF(AND(ISNUMBER(E20),ISNUMBER(F20),ISNUMBER(G20)),MAX(0,E20-F20-G20),"")</f>
      </c>
      <c r="I20" s="2" t="str">
        <v>units</v>
      </c>
      <c r="J20" s="2" t="str">
        <v>To select</v>
      </c>
      <c r="K20" s="14"/>
      <c r="L20" s="14" t="str">
        <v>Search supplier</v>
      </c>
      <c r="M20" s="15" t="str">
        <v>Check existing equipment</v>
      </c>
      <c r="N20" s="15" t="str">
        <v>Match intended PCB and panel sizes.</v>
      </c>
      <c r="O20" s="15" t="str">
        <v>Supplier packaging</v>
      </c>
      <c r="Q20" s="22"/>
      <c r="R20" s="23" t="str">
        <f>IF(AND(ISNUMBER(E20),ISNUMBER(Q20)),E20*Q20,"")</f>
      </c>
      <c r="S20" s="23" t="str">
        <f>IF(AND(ISNUMBER(H20),ISNUMBER(Q20)),H20*Q20,"")</f>
      </c>
      <c r="T20" s="20"/>
      <c r="U20" s="20" t="str">
        <f>IF(ISNUMBER(Q20),"Price entered; verify source","Select exact item / quote")</f>
        <v>Select exact item / quote</v>
      </c>
    </row>
    <row r="21" ht="42" customHeight="1">
      <c r="A21" s="2" t="str">
        <v>P1</v>
      </c>
      <c r="B21" s="2" t="str">
        <v>Lab equipment</v>
      </c>
      <c r="C21" s="15" t="str">
        <v>PCB stencil</v>
      </c>
      <c r="D21" s="15" t="str">
        <v>Match process</v>
      </c>
      <c r="E21" s="12"/>
      <c r="F21" s="12"/>
      <c r="G21" s="12"/>
      <c r="H21" s="13" t="str">
        <f>IF(AND(ISNUMBER(E21),ISNUMBER(F21),ISNUMBER(G21)),MAX(0,E21-F21-G21),"")</f>
      </c>
      <c r="I21" s="2" t="str">
        <v>stencils</v>
      </c>
      <c r="J21" s="2" t="str">
        <v>To select</v>
      </c>
      <c r="K21" s="14"/>
      <c r="L21" s="14" t="str">
        <v>Search supplier</v>
      </c>
      <c r="M21" s="15" t="str">
        <v>Layout required</v>
      </c>
      <c r="N21" s="15" t="str">
        <v>One per released layout/panel as needed.</v>
      </c>
      <c r="O21" s="15" t="str">
        <v>Supplier packaging</v>
      </c>
      <c r="Q21" s="22"/>
      <c r="R21" s="23" t="str">
        <f>IF(AND(ISNUMBER(E21),ISNUMBER(Q21)),E21*Q21,"")</f>
      </c>
      <c r="S21" s="23" t="str">
        <f>IF(AND(ISNUMBER(H21),ISNUMBER(Q21)),H21*Q21,"")</f>
      </c>
      <c r="T21" s="20"/>
      <c r="U21" s="20" t="str">
        <f>IF(ISNUMBER(Q21),"Price entered; verify source","Select exact item / quote")</f>
        <v>Select exact item / quote</v>
      </c>
    </row>
    <row r="22" ht="42" customHeight="1">
      <c r="A22" s="2" t="str">
        <v>P1</v>
      </c>
      <c r="B22" s="2" t="str">
        <v>Lab equipment</v>
      </c>
      <c r="C22" s="15" t="str">
        <v>PCB support fixtures</v>
      </c>
      <c r="D22" s="15" t="str">
        <v>Match process</v>
      </c>
      <c r="E22" s="12" t="n">
        <v>1</v>
      </c>
      <c r="F22" s="12"/>
      <c r="G22" s="12"/>
      <c r="H22" s="13" t="str">
        <f>IF(AND(ISNUMBER(E22),ISNUMBER(F22),ISNUMBER(G22)),MAX(0,E22-F22-G22),"")</f>
      </c>
      <c r="I22" s="2" t="str">
        <v>sets</v>
      </c>
      <c r="J22" s="2" t="str">
        <v>To select</v>
      </c>
      <c r="K22" s="14"/>
      <c r="L22" s="14" t="str">
        <v>Search supplier</v>
      </c>
      <c r="M22" s="15" t="str">
        <v>Select process</v>
      </c>
      <c r="N22" s="15" t="str">
        <v>Hold panels during printing and assembly.</v>
      </c>
      <c r="O22" s="15" t="str">
        <v>Supplier packaging</v>
      </c>
      <c r="Q22" s="22"/>
      <c r="R22" s="23" t="str">
        <f>IF(AND(ISNUMBER(E22),ISNUMBER(Q22)),E22*Q22,"")</f>
      </c>
      <c r="S22" s="23" t="str">
        <f>IF(AND(ISNUMBER(H22),ISNUMBER(Q22)),H22*Q22,"")</f>
      </c>
      <c r="T22" s="20"/>
      <c r="U22" s="20" t="str">
        <f>IF(ISNUMBER(Q22),"Price entered; verify source","Select exact item / quote")</f>
        <v>Select exact item / quote</v>
      </c>
    </row>
    <row r="23" ht="42" customHeight="1">
      <c r="A23" s="2" t="str">
        <v>P1</v>
      </c>
      <c r="B23" s="2" t="str">
        <v>Lab equipment</v>
      </c>
      <c r="C23" s="15" t="str">
        <v>Reflow oven</v>
      </c>
      <c r="D23" s="15" t="str">
        <v>Match process</v>
      </c>
      <c r="E23" s="12" t="n">
        <v>1</v>
      </c>
      <c r="F23" s="12"/>
      <c r="G23" s="12"/>
      <c r="H23" s="13" t="str">
        <f>IF(AND(ISNUMBER(E23),ISNUMBER(F23),ISNUMBER(G23)),MAX(0,E23-F23-G23),"")</f>
      </c>
      <c r="I23" s="2" t="str">
        <v>units</v>
      </c>
      <c r="J23" s="2" t="str">
        <v>To select</v>
      </c>
      <c r="K23" s="14"/>
      <c r="L23" s="14" t="str">
        <v>Search supplier</v>
      </c>
      <c r="M23" s="15" t="str">
        <v>Check existing equipment</v>
      </c>
      <c r="N23" s="15" t="str">
        <v>Match board sizes and controllable process profile.</v>
      </c>
      <c r="O23" s="15" t="str">
        <v>Supplier packaging</v>
      </c>
      <c r="Q23" s="22"/>
      <c r="R23" s="23" t="str">
        <f>IF(AND(ISNUMBER(E23),ISNUMBER(Q23)),E23*Q23,"")</f>
      </c>
      <c r="S23" s="23" t="str">
        <f>IF(AND(ISNUMBER(H23),ISNUMBER(Q23)),H23*Q23,"")</f>
      </c>
      <c r="T23" s="20"/>
      <c r="U23" s="20" t="str">
        <f>IF(ISNUMBER(Q23),"Price entered; verify source","Select exact item / quote")</f>
        <v>Select exact item / quote</v>
      </c>
    </row>
    <row r="24" ht="42" customHeight="1">
      <c r="A24" s="2" t="str">
        <v>P1</v>
      </c>
      <c r="B24" s="2" t="str">
        <v>Lab equipment</v>
      </c>
      <c r="C24" s="15" t="str">
        <v>Reflow thermocouple profiler</v>
      </c>
      <c r="D24" s="15" t="str">
        <v>Match process</v>
      </c>
      <c r="E24" s="12" t="n">
        <v>1</v>
      </c>
      <c r="F24" s="12"/>
      <c r="G24" s="12"/>
      <c r="H24" s="13" t="str">
        <f>IF(AND(ISNUMBER(E24),ISNUMBER(F24),ISNUMBER(G24)),MAX(0,E24-F24-G24),"")</f>
      </c>
      <c r="I24" s="2" t="str">
        <v>sets</v>
      </c>
      <c r="J24" s="2" t="str">
        <v>To select</v>
      </c>
      <c r="K24" s="14"/>
      <c r="L24" s="14" t="str">
        <v>Search supplier</v>
      </c>
      <c r="M24" s="15" t="str">
        <v>Check existing equipment</v>
      </c>
      <c r="N24" s="15" t="str">
        <v>Verify solder profile at components.</v>
      </c>
      <c r="O24" s="15" t="str">
        <v>Supplier packaging</v>
      </c>
      <c r="Q24" s="22"/>
      <c r="R24" s="23" t="str">
        <f>IF(AND(ISNUMBER(E24),ISNUMBER(Q24)),E24*Q24,"")</f>
      </c>
      <c r="S24" s="23" t="str">
        <f>IF(AND(ISNUMBER(H24),ISNUMBER(Q24)),H24*Q24,"")</f>
      </c>
      <c r="T24" s="20"/>
      <c r="U24" s="20" t="str">
        <f>IF(ISNUMBER(Q24),"Price entered; verify source","Select exact item / quote")</f>
        <v>Select exact item / quote</v>
      </c>
    </row>
    <row r="25" ht="42" customHeight="1">
      <c r="A25" s="2" t="str">
        <v>P1</v>
      </c>
      <c r="B25" s="2" t="str">
        <v>Lab equipment</v>
      </c>
      <c r="C25" s="15" t="str">
        <v>Inspection microscope</v>
      </c>
      <c r="D25" s="15" t="str">
        <v>Match process</v>
      </c>
      <c r="E25" s="12" t="n">
        <v>1</v>
      </c>
      <c r="F25" s="12"/>
      <c r="G25" s="12"/>
      <c r="H25" s="13" t="str">
        <f>IF(AND(ISNUMBER(E25),ISNUMBER(F25),ISNUMBER(G25)),MAX(0,E25-F25-G25),"")</f>
      </c>
      <c r="I25" s="2" t="str">
        <v>units</v>
      </c>
      <c r="J25" s="2" t="str">
        <v>To select</v>
      </c>
      <c r="K25" s="14"/>
      <c r="L25" s="14" t="str">
        <v>Search supplier</v>
      </c>
      <c r="M25" s="15" t="str">
        <v>Check existing equipment</v>
      </c>
      <c r="N25" s="15" t="str">
        <v>Inspect solder joints and placement.</v>
      </c>
      <c r="O25" s="15" t="str">
        <v>Supplier packaging</v>
      </c>
      <c r="Q25" s="22"/>
      <c r="R25" s="23" t="str">
        <f>IF(AND(ISNUMBER(E25),ISNUMBER(Q25)),E25*Q25,"")</f>
      </c>
      <c r="S25" s="23" t="str">
        <f>IF(AND(ISNUMBER(H25),ISNUMBER(Q25)),H25*Q25,"")</f>
      </c>
      <c r="T25" s="20"/>
      <c r="U25" s="20" t="str">
        <f>IF(ISNUMBER(Q25),"Price entered; verify source","Select exact item / quote")</f>
        <v>Select exact item / quote</v>
      </c>
    </row>
    <row r="26" ht="42" customHeight="1">
      <c r="A26" s="2" t="str">
        <v>P1</v>
      </c>
      <c r="B26" s="2" t="str">
        <v>Lab equipment</v>
      </c>
      <c r="C26" s="15" t="str">
        <v>Soldering station</v>
      </c>
      <c r="D26" s="15" t="str">
        <v>Match process</v>
      </c>
      <c r="E26" s="12" t="n">
        <v>1</v>
      </c>
      <c r="F26" s="12"/>
      <c r="G26" s="12"/>
      <c r="H26" s="13" t="str">
        <f>IF(AND(ISNUMBER(E26),ISNUMBER(F26),ISNUMBER(G26)),MAX(0,E26-F26-G26),"")</f>
      </c>
      <c r="I26" s="2" t="str">
        <v>units</v>
      </c>
      <c r="J26" s="2" t="str">
        <v>To select</v>
      </c>
      <c r="K26" s="14"/>
      <c r="L26" s="14" t="str">
        <v>Search supplier</v>
      </c>
      <c r="M26" s="15" t="str">
        <v>Check existing equipment</v>
      </c>
      <c r="N26" s="15" t="str">
        <v>Assembly touch-up and through-hole soldering.</v>
      </c>
      <c r="O26" s="15" t="str">
        <v>Supplier packaging</v>
      </c>
      <c r="Q26" s="22"/>
      <c r="R26" s="23" t="str">
        <f>IF(AND(ISNUMBER(E26),ISNUMBER(Q26)),E26*Q26,"")</f>
      </c>
      <c r="S26" s="23" t="str">
        <f>IF(AND(ISNUMBER(H26),ISNUMBER(Q26)),H26*Q26,"")</f>
      </c>
      <c r="T26" s="20"/>
      <c r="U26" s="20" t="str">
        <f>IF(ISNUMBER(Q26),"Price entered; verify source","Select exact item / quote")</f>
        <v>Select exact item / quote</v>
      </c>
    </row>
    <row r="27" ht="42" customHeight="1">
      <c r="A27" s="2" t="str">
        <v>P1</v>
      </c>
      <c r="B27" s="2" t="str">
        <v>Lab equipment</v>
      </c>
      <c r="C27" s="15" t="str">
        <v>Hot air rework station</v>
      </c>
      <c r="D27" s="15" t="str">
        <v>Match process</v>
      </c>
      <c r="E27" s="12" t="n">
        <v>1</v>
      </c>
      <c r="F27" s="12"/>
      <c r="G27" s="12"/>
      <c r="H27" s="13" t="str">
        <f>IF(AND(ISNUMBER(E27),ISNUMBER(F27),ISNUMBER(G27)),MAX(0,E27-F27-G27),"")</f>
      </c>
      <c r="I27" s="2" t="str">
        <v>units</v>
      </c>
      <c r="J27" s="2" t="str">
        <v>To select</v>
      </c>
      <c r="K27" s="14"/>
      <c r="L27" s="14" t="str">
        <v>Search supplier</v>
      </c>
      <c r="M27" s="15" t="str">
        <v>Check existing equipment</v>
      </c>
      <c r="N27" s="15" t="str">
        <v>Remove/replace SMT parts.</v>
      </c>
      <c r="O27" s="15" t="str">
        <v>Supplier packaging</v>
      </c>
      <c r="Q27" s="22"/>
      <c r="R27" s="23" t="str">
        <f>IF(AND(ISNUMBER(E27),ISNUMBER(Q27)),E27*Q27,"")</f>
      </c>
      <c r="S27" s="23" t="str">
        <f>IF(AND(ISNUMBER(H27),ISNUMBER(Q27)),H27*Q27,"")</f>
      </c>
      <c r="T27" s="20"/>
      <c r="U27" s="20" t="str">
        <f>IF(ISNUMBER(Q27),"Price entered; verify source","Select exact item / quote")</f>
        <v>Select exact item / quote</v>
      </c>
    </row>
    <row r="28" ht="42" customHeight="1">
      <c r="A28" s="2" t="str">
        <v>P1</v>
      </c>
      <c r="B28" s="2" t="str">
        <v>Lab equipment</v>
      </c>
      <c r="C28" s="15" t="str">
        <v>Fume extraction</v>
      </c>
      <c r="D28" s="15" t="str">
        <v>Match process</v>
      </c>
      <c r="E28" s="12" t="n">
        <v>1</v>
      </c>
      <c r="F28" s="12"/>
      <c r="G28" s="12"/>
      <c r="H28" s="13" t="str">
        <f>IF(AND(ISNUMBER(E28),ISNUMBER(F28),ISNUMBER(G28)),MAX(0,E28-F28-G28),"")</f>
      </c>
      <c r="I28" s="2" t="str">
        <v>units</v>
      </c>
      <c r="J28" s="2" t="str">
        <v>To select</v>
      </c>
      <c r="K28" s="14"/>
      <c r="L28" s="14" t="str">
        <v>Search supplier</v>
      </c>
      <c r="M28" s="15" t="str">
        <v>Check existing equipment</v>
      </c>
      <c r="N28" s="15" t="str">
        <v>Local extraction for solder/rework station.</v>
      </c>
      <c r="O28" s="15" t="str">
        <v>Supplier packaging</v>
      </c>
      <c r="Q28" s="22"/>
      <c r="R28" s="23" t="str">
        <f>IF(AND(ISNUMBER(E28),ISNUMBER(Q28)),E28*Q28,"")</f>
      </c>
      <c r="S28" s="23" t="str">
        <f>IF(AND(ISNUMBER(H28),ISNUMBER(Q28)),H28*Q28,"")</f>
      </c>
      <c r="T28" s="20"/>
      <c r="U28" s="20" t="str">
        <f>IF(ISNUMBER(Q28),"Price entered; verify source","Select exact item / quote")</f>
        <v>Select exact item / quote</v>
      </c>
    </row>
    <row r="29" ht="42" customHeight="1">
      <c r="A29" s="2" t="str">
        <v>P1</v>
      </c>
      <c r="B29" s="2" t="str">
        <v>Lab equipment</v>
      </c>
      <c r="C29" s="15" t="str">
        <v>ESD tweezers</v>
      </c>
      <c r="D29" s="15" t="str">
        <v>Match process</v>
      </c>
      <c r="E29" s="12" t="n">
        <v>1</v>
      </c>
      <c r="F29" s="12"/>
      <c r="G29" s="12"/>
      <c r="H29" s="13" t="str">
        <f>IF(AND(ISNUMBER(E29),ISNUMBER(F29),ISNUMBER(G29)),MAX(0,E29-F29-G29),"")</f>
      </c>
      <c r="I29" s="2" t="str">
        <v>sets</v>
      </c>
      <c r="J29" s="2" t="str">
        <v>To select</v>
      </c>
      <c r="K29" s="14"/>
      <c r="L29" s="14" t="str">
        <v>Search supplier</v>
      </c>
      <c r="M29" s="15" t="str">
        <v>Check existing equipment</v>
      </c>
      <c r="N29" s="15" t="str">
        <v>Handle parts during assembly and rework.</v>
      </c>
      <c r="O29" s="15" t="str">
        <v>Supplier packaging</v>
      </c>
      <c r="Q29" s="22"/>
      <c r="R29" s="23" t="str">
        <f>IF(AND(ISNUMBER(E29),ISNUMBER(Q29)),E29*Q29,"")</f>
      </c>
      <c r="S29" s="23" t="str">
        <f>IF(AND(ISNUMBER(H29),ISNUMBER(Q29)),H29*Q29,"")</f>
      </c>
      <c r="T29" s="20"/>
      <c r="U29" s="20" t="str">
        <f>IF(ISNUMBER(Q29),"Price entered; verify source","Select exact item / quote")</f>
        <v>Select exact item / quote</v>
      </c>
    </row>
    <row r="30" ht="42" customHeight="1">
      <c r="A30" s="2" t="str">
        <v>P1</v>
      </c>
      <c r="B30" s="2" t="str">
        <v>Lab equipment</v>
      </c>
      <c r="C30" s="15" t="str">
        <v>Flux solder wick solder wire</v>
      </c>
      <c r="D30" s="15" t="str">
        <v>Match process</v>
      </c>
      <c r="E30" s="12" t="n">
        <v>1</v>
      </c>
      <c r="F30" s="12"/>
      <c r="G30" s="12"/>
      <c r="H30" s="13" t="str">
        <f>IF(AND(ISNUMBER(E30),ISNUMBER(F30),ISNUMBER(G30)),MAX(0,E30-F30-G30),"")</f>
      </c>
      <c r="I30" s="2" t="str">
        <v>kits</v>
      </c>
      <c r="J30" s="2" t="str">
        <v>To select</v>
      </c>
      <c r="K30" s="14"/>
      <c r="L30" s="14" t="str">
        <v>Search supplier</v>
      </c>
      <c r="M30" s="15" t="str">
        <v>Select process</v>
      </c>
      <c r="N30" s="15" t="str">
        <v>Select compatible assembly consumables.</v>
      </c>
      <c r="O30" s="15" t="str">
        <v>Supplier packaging</v>
      </c>
      <c r="Q30" s="22"/>
      <c r="R30" s="23" t="str">
        <f>IF(AND(ISNUMBER(E30),ISNUMBER(Q30)),E30*Q30,"")</f>
      </c>
      <c r="S30" s="23" t="str">
        <f>IF(AND(ISNUMBER(H30),ISNUMBER(Q30)),H30*Q30,"")</f>
      </c>
      <c r="T30" s="20"/>
      <c r="U30" s="20" t="str">
        <f>IF(ISNUMBER(Q30),"Price entered; verify source","Select exact item / quote")</f>
        <v>Select exact item / quote</v>
      </c>
    </row>
    <row r="31" ht="42" customHeight="1">
      <c r="A31" s="2" t="str">
        <v>P1</v>
      </c>
      <c r="B31" s="2" t="str">
        <v>Lab equipment</v>
      </c>
      <c r="C31" s="15" t="str">
        <v>Electronics cleaning wipes and solvent</v>
      </c>
      <c r="D31" s="15" t="str">
        <v>Match process</v>
      </c>
      <c r="E31" s="12" t="n">
        <v>1</v>
      </c>
      <c r="F31" s="12"/>
      <c r="G31" s="12"/>
      <c r="H31" s="13" t="str">
        <f>IF(AND(ISNUMBER(E31),ISNUMBER(F31),ISNUMBER(G31)),MAX(0,E31-F31-G31),"")</f>
      </c>
      <c r="I31" s="2" t="str">
        <v>kits</v>
      </c>
      <c r="J31" s="2" t="str">
        <v>To select</v>
      </c>
      <c r="K31" s="14"/>
      <c r="L31" s="14" t="str">
        <v>Search supplier</v>
      </c>
      <c r="M31" s="15" t="str">
        <v>Select process</v>
      </c>
      <c r="N31" s="15" t="str">
        <v>Select for flux and material compatibility.</v>
      </c>
      <c r="O31" s="15" t="str">
        <v>Supplier packaging</v>
      </c>
      <c r="Q31" s="22"/>
      <c r="R31" s="23" t="str">
        <f>IF(AND(ISNUMBER(E31),ISNUMBER(Q31)),E31*Q31,"")</f>
      </c>
      <c r="S31" s="23" t="str">
        <f>IF(AND(ISNUMBER(H31),ISNUMBER(Q31)),H31*Q31,"")</f>
      </c>
      <c r="T31" s="20"/>
      <c r="U31" s="20" t="str">
        <f>IF(ISNUMBER(Q31),"Price entered; verify source","Select exact item / quote")</f>
        <v>Select exact item / quote</v>
      </c>
    </row>
    <row r="32" ht="42" customHeight="1">
      <c r="A32" s="2" t="str">
        <v>P1</v>
      </c>
      <c r="B32" s="2" t="str">
        <v>Lab equipment</v>
      </c>
      <c r="C32" s="15" t="str">
        <v>Hook-up wire assortment</v>
      </c>
      <c r="D32" s="15" t="str">
        <v>Match process</v>
      </c>
      <c r="E32" s="12" t="n">
        <v>1</v>
      </c>
      <c r="F32" s="12"/>
      <c r="G32" s="12"/>
      <c r="H32" s="13" t="str">
        <f>IF(AND(ISNUMBER(E32),ISNUMBER(F32),ISNUMBER(G32)),MAX(0,E32-F32-G32),"")</f>
      </c>
      <c r="I32" s="2" t="str">
        <v>kits</v>
      </c>
      <c r="J32" s="2" t="str">
        <v>To select</v>
      </c>
      <c r="K32" s="14"/>
      <c r="L32" s="14" t="str">
        <v>Search supplier</v>
      </c>
      <c r="M32" s="15" t="str">
        <v>Select wire gauges</v>
      </c>
      <c r="N32" s="15" t="str">
        <v>Select gauge, insulation and colors for signal harnesses.</v>
      </c>
      <c r="O32" s="15" t="str">
        <v>Supplier packaging</v>
      </c>
      <c r="Q32" s="22"/>
      <c r="R32" s="23" t="str">
        <f>IF(AND(ISNUMBER(E32),ISNUMBER(Q32)),E32*Q32,"")</f>
      </c>
      <c r="S32" s="23" t="str">
        <f>IF(AND(ISNUMBER(H32),ISNUMBER(Q32)),H32*Q32,"")</f>
      </c>
      <c r="T32" s="20"/>
      <c r="U32" s="20" t="str">
        <f>IF(ISNUMBER(Q32),"Price entered; verify source","Select exact item / quote")</f>
        <v>Select exact item / quote</v>
      </c>
    </row>
    <row r="33" ht="42" customHeight="1">
      <c r="A33" s="2" t="str">
        <v>P1</v>
      </c>
      <c r="B33" s="2" t="str">
        <v>Lab equipment</v>
      </c>
      <c r="C33" s="15" t="str">
        <v>Heat shrink assortment</v>
      </c>
      <c r="D33" s="15" t="str">
        <v>Match process</v>
      </c>
      <c r="E33" s="12" t="n">
        <v>1</v>
      </c>
      <c r="F33" s="12"/>
      <c r="G33" s="12"/>
      <c r="H33" s="13" t="str">
        <f>IF(AND(ISNUMBER(E33),ISNUMBER(F33),ISNUMBER(G33)),MAX(0,E33-F33-G33),"")</f>
      </c>
      <c r="I33" s="2" t="str">
        <v>kits</v>
      </c>
      <c r="J33" s="2" t="str">
        <v>To select</v>
      </c>
      <c r="K33" s="14"/>
      <c r="L33" s="14" t="str">
        <v>Search supplier</v>
      </c>
      <c r="M33" s="15" t="str">
        <v>Select model/spec</v>
      </c>
      <c r="N33" s="15" t="str">
        <v>Harness insulation and strain relief.</v>
      </c>
      <c r="O33" s="15" t="str">
        <v>Supplier packaging</v>
      </c>
      <c r="Q33" s="22"/>
      <c r="R33" s="23" t="str">
        <f>IF(AND(ISNUMBER(E33),ISNUMBER(Q33)),E33*Q33,"")</f>
      </c>
      <c r="S33" s="23" t="str">
        <f>IF(AND(ISNUMBER(H33),ISNUMBER(Q33)),H33*Q33,"")</f>
      </c>
      <c r="T33" s="20"/>
      <c r="U33" s="20" t="str">
        <f>IF(ISNUMBER(Q33),"Price entered; verify source","Select exact item / quote")</f>
        <v>Select exact item / quote</v>
      </c>
    </row>
    <row r="34" ht="42" customHeight="1">
      <c r="A34" s="2" t="str">
        <v>P1</v>
      </c>
      <c r="B34" s="2" t="str">
        <v>Lab equipment</v>
      </c>
      <c r="C34" s="15" t="str">
        <v>JST GH compatible crimp tool</v>
      </c>
      <c r="D34" s="15" t="str">
        <v>Match process</v>
      </c>
      <c r="E34" s="12" t="n">
        <v>1</v>
      </c>
      <c r="F34" s="12"/>
      <c r="G34" s="12"/>
      <c r="H34" s="13" t="str">
        <f>IF(AND(ISNUMBER(E34),ISNUMBER(F34),ISNUMBER(G34)),MAX(0,E34-F34-G34),"")</f>
      </c>
      <c r="I34" s="2" t="str">
        <v>units</v>
      </c>
      <c r="J34" s="2" t="str">
        <v>To select</v>
      </c>
      <c r="K34" s="14"/>
      <c r="L34" s="14" t="str">
        <v>Search supplier</v>
      </c>
      <c r="M34" s="15" t="str">
        <v>Select contact first</v>
      </c>
      <c r="N34" s="15" t="str">
        <v>Match exact contact and wire gauge.</v>
      </c>
      <c r="O34" s="15" t="str">
        <v>Supplier packaging</v>
      </c>
      <c r="Q34" s="22"/>
      <c r="R34" s="23" t="str">
        <f>IF(AND(ISNUMBER(E34),ISNUMBER(Q34)),E34*Q34,"")</f>
      </c>
      <c r="S34" s="23" t="str">
        <f>IF(AND(ISNUMBER(H34),ISNUMBER(Q34)),H34*Q34,"")</f>
      </c>
      <c r="T34" s="20"/>
      <c r="U34" s="20" t="str">
        <f>IF(ISNUMBER(Q34),"Price entered; verify source","Select exact item / quote")</f>
        <v>Select exact item / quote</v>
      </c>
    </row>
    <row r="35" ht="42" customHeight="1">
      <c r="A35" s="2" t="str">
        <v>P1</v>
      </c>
      <c r="B35" s="2" t="str">
        <v>Lab equipment</v>
      </c>
      <c r="C35" s="15" t="str">
        <v>Wire stripper and flush cutters</v>
      </c>
      <c r="D35" s="15" t="str">
        <v>Match process</v>
      </c>
      <c r="E35" s="12" t="n">
        <v>1</v>
      </c>
      <c r="F35" s="12"/>
      <c r="G35" s="12"/>
      <c r="H35" s="13" t="str">
        <f>IF(AND(ISNUMBER(E35),ISNUMBER(F35),ISNUMBER(G35)),MAX(0,E35-F35-G35),"")</f>
      </c>
      <c r="I35" s="2" t="str">
        <v>sets</v>
      </c>
      <c r="J35" s="2" t="str">
        <v>To select</v>
      </c>
      <c r="K35" s="14"/>
      <c r="L35" s="14" t="str">
        <v>Search supplier</v>
      </c>
      <c r="M35" s="15" t="str">
        <v>Check existing equipment</v>
      </c>
      <c r="N35" s="15" t="str">
        <v>Harness preparation and rework.</v>
      </c>
      <c r="O35" s="15" t="str">
        <v>Supplier packaging</v>
      </c>
      <c r="Q35" s="22"/>
      <c r="R35" s="23" t="str">
        <f>IF(AND(ISNUMBER(E35),ISNUMBER(Q35)),E35*Q35,"")</f>
      </c>
      <c r="S35" s="23" t="str">
        <f>IF(AND(ISNUMBER(H35),ISNUMBER(Q35)),H35*Q35,"")</f>
      </c>
      <c r="T35" s="20"/>
      <c r="U35" s="20" t="str">
        <f>IF(ISNUMBER(Q35),"Price entered; verify source","Select exact item / quote")</f>
        <v>Select exact item / quote</v>
      </c>
    </row>
    <row r="36" ht="42" customHeight="1">
      <c r="A36" s="2" t="str">
        <v>P1</v>
      </c>
      <c r="B36" s="2" t="str">
        <v>Lab equipment</v>
      </c>
      <c r="C36" s="15" t="str">
        <v>Digital multimeter</v>
      </c>
      <c r="D36" s="15" t="str">
        <v>Match process</v>
      </c>
      <c r="E36" s="12" t="n">
        <v>2</v>
      </c>
      <c r="F36" s="12"/>
      <c r="G36" s="12"/>
      <c r="H36" s="13" t="str">
        <f>IF(AND(ISNUMBER(E36),ISNUMBER(F36),ISNUMBER(G36)),MAX(0,E36-F36-G36),"")</f>
      </c>
      <c r="I36" s="2" t="str">
        <v>units</v>
      </c>
      <c r="J36" s="2" t="str">
        <v>To select</v>
      </c>
      <c r="K36" s="14"/>
      <c r="L36" s="14" t="str">
        <v>Search supplier</v>
      </c>
      <c r="M36" s="15" t="str">
        <v>Check existing equipment</v>
      </c>
      <c r="N36" s="15" t="str">
        <v>Starter shared bench measurement pair.</v>
      </c>
      <c r="O36" s="15" t="str">
        <v>Supplier packaging</v>
      </c>
      <c r="Q36" s="22"/>
      <c r="R36" s="23" t="str">
        <f>IF(AND(ISNUMBER(E36),ISNUMBER(Q36)),E36*Q36,"")</f>
      </c>
      <c r="S36" s="23" t="str">
        <f>IF(AND(ISNUMBER(H36),ISNUMBER(Q36)),H36*Q36,"")</f>
      </c>
      <c r="T36" s="20"/>
      <c r="U36" s="20" t="str">
        <f>IF(ISNUMBER(Q36),"Price entered; verify source","Select exact item / quote")</f>
        <v>Select exact item / quote</v>
      </c>
    </row>
    <row r="37" ht="42" customHeight="1">
      <c r="A37" s="2" t="str">
        <v>P1</v>
      </c>
      <c r="B37" s="2" t="str">
        <v>Lab equipment</v>
      </c>
      <c r="C37" s="15" t="str">
        <v>Bench DC power supply</v>
      </c>
      <c r="D37" s="15" t="str">
        <v>Match process</v>
      </c>
      <c r="E37" s="12" t="n">
        <v>1</v>
      </c>
      <c r="F37" s="12"/>
      <c r="G37" s="12"/>
      <c r="H37" s="13" t="str">
        <f>IF(AND(ISNUMBER(E37),ISNUMBER(F37),ISNUMBER(G37)),MAX(0,E37-F37-G37),"")</f>
      </c>
      <c r="I37" s="2" t="str">
        <v>units</v>
      </c>
      <c r="J37" s="2" t="str">
        <v>To select</v>
      </c>
      <c r="K37" s="14"/>
      <c r="L37" s="14" t="str">
        <v>Search supplier</v>
      </c>
      <c r="M37" s="15" t="str">
        <v>Select electrical range</v>
      </c>
      <c r="N37" s="15" t="str">
        <v>Select voltage/current range and current limiting for projects.</v>
      </c>
      <c r="O37" s="15" t="str">
        <v>Supplier packaging</v>
      </c>
      <c r="Q37" s="22"/>
      <c r="R37" s="23" t="str">
        <f>IF(AND(ISNUMBER(E37),ISNUMBER(Q37)),E37*Q37,"")</f>
      </c>
      <c r="S37" s="23" t="str">
        <f>IF(AND(ISNUMBER(H37),ISNUMBER(Q37)),H37*Q37,"")</f>
      </c>
      <c r="T37" s="20"/>
      <c r="U37" s="20" t="str">
        <f>IF(ISNUMBER(Q37),"Price entered; verify source","Select exact item / quote")</f>
        <v>Select exact item / quote</v>
      </c>
    </row>
    <row r="38" ht="42" customHeight="1">
      <c r="A38" s="2" t="str">
        <v>P1</v>
      </c>
      <c r="B38" s="2" t="str">
        <v>Lab equipment</v>
      </c>
      <c r="C38" s="15" t="str">
        <v>Oscilloscope with probes</v>
      </c>
      <c r="D38" s="15" t="str">
        <v>Match process</v>
      </c>
      <c r="E38" s="12" t="n">
        <v>1</v>
      </c>
      <c r="F38" s="12"/>
      <c r="G38" s="12"/>
      <c r="H38" s="13" t="str">
        <f>IF(AND(ISNUMBER(E38),ISNUMBER(F38),ISNUMBER(G38)),MAX(0,E38-F38-G38),"")</f>
      </c>
      <c r="I38" s="2" t="str">
        <v>sets</v>
      </c>
      <c r="J38" s="2" t="str">
        <v>To select</v>
      </c>
      <c r="K38" s="14"/>
      <c r="L38" s="14" t="str">
        <v>Search supplier</v>
      </c>
      <c r="M38" s="15" t="str">
        <v>Select measurement needs</v>
      </c>
      <c r="N38" s="15" t="str">
        <v>Choose bandwidth, channels and appropriate probing for circuits.</v>
      </c>
      <c r="O38" s="15" t="str">
        <v>Supplier packaging</v>
      </c>
      <c r="Q38" s="22"/>
      <c r="R38" s="23" t="str">
        <f>IF(AND(ISNUMBER(E38),ISNUMBER(Q38)),E38*Q38,"")</f>
      </c>
      <c r="S38" s="23" t="str">
        <f>IF(AND(ISNUMBER(H38),ISNUMBER(Q38)),H38*Q38,"")</f>
      </c>
      <c r="T38" s="20"/>
      <c r="U38" s="20" t="str">
        <f>IF(ISNUMBER(Q38),"Price entered; verify source","Select exact item / quote")</f>
        <v>Select exact item / quote</v>
      </c>
    </row>
    <row r="39" ht="42" customHeight="1">
      <c r="A39" s="2" t="str">
        <v>P1</v>
      </c>
      <c r="B39" s="2" t="str">
        <v>Lab equipment</v>
      </c>
      <c r="C39" s="15" t="str">
        <v>Logic analyzer</v>
      </c>
      <c r="D39" s="15" t="str">
        <v>Match process</v>
      </c>
      <c r="E39" s="12" t="n">
        <v>1</v>
      </c>
      <c r="F39" s="12"/>
      <c r="G39" s="12"/>
      <c r="H39" s="13" t="str">
        <f>IF(AND(ISNUMBER(E39),ISNUMBER(F39),ISNUMBER(G39)),MAX(0,E39-F39-G39),"")</f>
      </c>
      <c r="I39" s="2" t="str">
        <v>units</v>
      </c>
      <c r="J39" s="2" t="str">
        <v>To select</v>
      </c>
      <c r="K39" s="14"/>
      <c r="L39" s="14" t="str">
        <v>Search supplier</v>
      </c>
      <c r="M39" s="15" t="str">
        <v>Select interface voltage</v>
      </c>
      <c r="N39" s="15" t="str">
        <v>Inspect digital bus traffic and timing.</v>
      </c>
      <c r="O39" s="15" t="str">
        <v>Supplier packaging</v>
      </c>
      <c r="Q39" s="22"/>
      <c r="R39" s="23" t="str">
        <f>IF(AND(ISNUMBER(E39),ISNUMBER(Q39)),E39*Q39,"")</f>
      </c>
      <c r="S39" s="23" t="str">
        <f>IF(AND(ISNUMBER(H39),ISNUMBER(Q39)),H39*Q39,"")</f>
      </c>
      <c r="T39" s="20"/>
      <c r="U39" s="20" t="str">
        <f>IF(ISNUMBER(Q39),"Price entered; verify source","Select exact item / quote")</f>
        <v>Select exact item / quote</v>
      </c>
    </row>
    <row r="40" ht="42" customHeight="1">
      <c r="A40" s="2" t="str">
        <v>P1</v>
      </c>
      <c r="B40" s="2" t="str">
        <v>Lab equipment</v>
      </c>
      <c r="C40" s="15" t="str">
        <v>Electronic load</v>
      </c>
      <c r="D40" s="15" t="str">
        <v>Match process</v>
      </c>
      <c r="E40" s="12" t="n">
        <v>1</v>
      </c>
      <c r="F40" s="12"/>
      <c r="G40" s="12"/>
      <c r="H40" s="13" t="str">
        <f>IF(AND(ISNUMBER(E40),ISNUMBER(F40),ISNUMBER(G40)),MAX(0,E40-F40-G40),"")</f>
      </c>
      <c r="I40" s="2" t="str">
        <v>units</v>
      </c>
      <c r="J40" s="2" t="str">
        <v>To select</v>
      </c>
      <c r="K40" s="14"/>
      <c r="L40" s="14" t="str">
        <v>Search supplier</v>
      </c>
      <c r="M40" s="15" t="str">
        <v>Select electrical range</v>
      </c>
      <c r="N40" s="15" t="str">
        <v>Validate power rails under steady and changing loads.</v>
      </c>
      <c r="O40" s="15" t="str">
        <v>Supplier packaging</v>
      </c>
      <c r="Q40" s="22"/>
      <c r="R40" s="23" t="str">
        <f>IF(AND(ISNUMBER(E40),ISNUMBER(Q40)),E40*Q40,"")</f>
      </c>
      <c r="S40" s="23" t="str">
        <f>IF(AND(ISNUMBER(H40),ISNUMBER(Q40)),H40*Q40,"")</f>
      </c>
      <c r="T40" s="20"/>
      <c r="U40" s="20" t="str">
        <f>IF(ISNUMBER(Q40),"Price entered; verify source","Select exact item / quote")</f>
        <v>Select exact item / quote</v>
      </c>
    </row>
    <row r="41" ht="42" customHeight="1">
      <c r="A41" s="2" t="str">
        <v>P1</v>
      </c>
      <c r="B41" s="2" t="str">
        <v>Lab equipment</v>
      </c>
      <c r="C41" s="15" t="str">
        <v>MCU programmer debugger</v>
      </c>
      <c r="D41" s="15" t="str">
        <v>Match process</v>
      </c>
      <c r="E41" s="12" t="n">
        <v>1</v>
      </c>
      <c r="F41" s="12"/>
      <c r="G41" s="12"/>
      <c r="H41" s="13" t="str">
        <f>IF(AND(ISNUMBER(E41),ISNUMBER(F41),ISNUMBER(G41)),MAX(0,E41-F41-G41),"")</f>
      </c>
      <c r="I41" s="2" t="str">
        <v>units</v>
      </c>
      <c r="J41" s="2" t="str">
        <v>To select</v>
      </c>
      <c r="K41" s="14"/>
      <c r="L41" s="14" t="str">
        <v>Search supplier</v>
      </c>
      <c r="M41" s="15" t="str">
        <v>Select platform first</v>
      </c>
      <c r="N41" s="15" t="str">
        <v>Match chosen MCU platform.</v>
      </c>
      <c r="O41" s="15" t="str">
        <v>Supplier packaging</v>
      </c>
      <c r="Q41" s="22"/>
      <c r="R41" s="23" t="str">
        <f>IF(AND(ISNUMBER(E41),ISNUMBER(Q41)),E41*Q41,"")</f>
      </c>
      <c r="S41" s="23" t="str">
        <f>IF(AND(ISNUMBER(H41),ISNUMBER(Q41)),H41*Q41,"")</f>
      </c>
      <c r="T41" s="20"/>
      <c r="U41" s="20" t="str">
        <f>IF(ISNUMBER(Q41),"Price entered; verify source","Select exact item / quote")</f>
        <v>Select exact item / quote</v>
      </c>
    </row>
  </sheetData>
  <conditionalFormatting sqref="H9:H41">
    <cfRule type="cellIs" dxfId="1" priority="1" operator="greaterThan">
      <formula>0</formula>
    </cfRule>
  </conditionalFormatting>
  <dataValidations count="4">
    <dataValidation type="whole" operator="between" sqref="E9:E41">
      <formula1>0</formula1>
      <formula2>10000000</formula2>
    </dataValidation>
    <dataValidation type="whole" operator="between" sqref="F9:F41">
      <formula1>0</formula1>
      <formula2>10000000</formula2>
    </dataValidation>
    <dataValidation type="whole" operator="between" sqref="G9:G41">
      <formula1>0</formula1>
      <formula2>10000000</formula2>
    </dataValidation>
    <dataValidation type="list" sqref="A9:A41">
      <formula1>"P1,P2"</formula1>
    </dataValidation>
  </dataValidations>
  <hyperlinks>
    <hyperlink ref="L9" r:id="procurementLink0"/>
    <hyperlink ref="L10" r:id="procurementLink1"/>
    <hyperlink ref="L11" r:id="procurementLink2"/>
    <hyperlink ref="L12" r:id="procurementLink3"/>
    <hyperlink ref="L13" r:id="procurementLink4"/>
    <hyperlink ref="L14" r:id="procurementLink5"/>
    <hyperlink ref="L15" r:id="procurementLink6"/>
    <hyperlink ref="L16" r:id="procurementLink7"/>
    <hyperlink ref="L17" r:id="procurementLink8"/>
    <hyperlink ref="L18" r:id="procurementLink9"/>
    <hyperlink ref="L19" r:id="procurementLink10"/>
    <hyperlink ref="L20" r:id="procurementLink11"/>
    <hyperlink ref="L21" r:id="procurementLink12"/>
    <hyperlink ref="L22" r:id="procurementLink13"/>
    <hyperlink ref="L23" r:id="procurementLink14"/>
    <hyperlink ref="L24" r:id="procurementLink15"/>
    <hyperlink ref="L25" r:id="procurementLink16"/>
    <hyperlink ref="L26" r:id="procurementLink17"/>
    <hyperlink ref="L27" r:id="procurementLink18"/>
    <hyperlink ref="L28" r:id="procurementLink19"/>
    <hyperlink ref="L29" r:id="procurementLink20"/>
    <hyperlink ref="L30" r:id="procurementLink21"/>
    <hyperlink ref="L31" r:id="procurementLink22"/>
    <hyperlink ref="L32" r:id="procurementLink23"/>
    <hyperlink ref="L33" r:id="procurementLink24"/>
    <hyperlink ref="L34" r:id="procurementLink25"/>
    <hyperlink ref="L35" r:id="procurementLink26"/>
    <hyperlink ref="L36" r:id="procurementLink27"/>
    <hyperlink ref="L37" r:id="procurementLink28"/>
    <hyperlink ref="L38" r:id="procurementLink29"/>
    <hyperlink ref="L39" r:id="procurementLink30"/>
    <hyperlink ref="L40" r:id="procurementLink31"/>
    <hyperlink ref="L41" r:id="procurementLink32"/>
  </hyperlinks>
  <pageMargins left="0.7" right="0.7" top="0.75" bottom="0.75" header="0.3" footer="0.3"/>
  <tableParts count="1">
    <tablePart r:id="Rf776fad9f5604c0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03D59"/>
  </sheetPr>
  <sheetViews>
    <sheetView showGridLines="0" workbookViewId="0">
      <pane xSplit="2" ySplit="12" topLeftCell="C13" activePane="bottomRight" state="frozen"/>
    </sheetView>
  </sheetViews>
  <sheetFormatPr defaultRowHeight="15"/>
  <cols>
    <col min="1" max="1" width="32" hidden="0" customWidth="1"/>
    <col min="2" max="2" width="40" hidden="0" customWidth="1"/>
    <col min="3" max="3" width="12" hidden="0" customWidth="1"/>
    <col min="4" max="4" width="11" hidden="0" customWidth="1"/>
    <col min="5" max="5" width="12" hidden="0" customWidth="1"/>
    <col min="6" max="6" width="16" hidden="0" customWidth="1"/>
    <col min="7" max="7" width="14" hidden="0" customWidth="1"/>
    <col min="8" max="8" width="12" hidden="0" customWidth="1"/>
    <col min="9" max="9" width="13" hidden="0" customWidth="1"/>
    <col min="10" max="10" width="13" hidden="0" customWidth="1"/>
    <col min="11" max="11" width="17" hidden="0" customWidth="1"/>
    <col min="12" max="12" width="18" hidden="0" customWidth="1"/>
    <col min="13" max="13" width="16" hidden="0" customWidth="1"/>
    <col min="14" max="14" width="19" hidden="0" customWidth="1"/>
    <col min="15" max="15" width="33" hidden="0" customWidth="1"/>
    <col min="16" max="16" width="75" hidden="0" customWidth="1"/>
    <col min="17" max="17" width="24" hidden="0" customWidth="1"/>
    <col min="18" max="18" width="18" hidden="0" customWidth="1"/>
    <col min="19" max="19" width="40" hidden="0" customWidth="1"/>
    <col min="20" max="20" width="39" hidden="0" customWidth="1"/>
  </cols>
  <sheetData>
    <row r="1" ht="28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28" customHeight="1">
      <c r="A2" s="3" t="str">
        <v>Osiris board quantities and costs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ht="28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</row>
    <row r="4" ht="28" customHeight="1">
      <c r="A4" s="2" t="str">
        <v>Board quantity</v>
      </c>
      <c r="B4" s="29" t="n">
        <v>10</v>
      </c>
      <c r="C4" s="2"/>
      <c r="D4" s="2" t="str">
        <v>10 boards is an editable example. Quantities use the uploaded Rev A archive; new Rev B retention is unconfirmed.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ht="28" customHeight="1">
      <c r="A5" s="2" t="str">
        <v>Spare fraction</v>
      </c>
      <c r="B5" s="30" t="n">
        <v>0.1</v>
      </c>
      <c r="C5" s="2"/>
      <c r="D5" s="2" t="str">
        <v>Spare/setup defaults are planning assumptions. Zero boards produces zero purchase quantity and cost.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ht="28" customHeight="1">
      <c r="A6" s="2" t="str">
        <v>Setup pieces / line</v>
      </c>
      <c r="B6" s="29" t="n">
        <v>2</v>
      </c>
      <c r="C6" s="2"/>
      <c r="D6" s="2" t="str">
        <v>Planned and net costs each use their own quantity price tier. Enter inventory for net costs. Verify any manual quote at its order quantity.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ht="28" customHeight="1">
      <c r="A7" s="2" t="str">
        <v>Price contingency</v>
      </c>
      <c r="B7" s="30" t="n">
        <v>0</v>
      </c>
      <c r="C7" s="2"/>
      <c r="D7" s="2" t="str">
        <v>Price contingency is a scenario input, not a prediction. Purchase totals exclude assembly, freight, tax and tariffs.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ht="28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ht="44" customHeight="1">
      <c r="A9" s="2" t="str">
        <v>Priced subtotal USD</v>
      </c>
      <c r="B9" s="33" t="n">
        <f>SUM(N13:N125)</f>
        <v>1303.6016</v>
      </c>
      <c r="C9" s="2"/>
      <c r="D9" s="15" t="str">
        <v>Unpriced lines</v>
      </c>
      <c r="E9" s="2" t="n">
        <f>COUNTIF(D13:D125,"Yes")-COUNT(M13:M125)</f>
        <v>89</v>
      </c>
      <c r="F9" s="2"/>
      <c r="G9" s="15" t="str">
        <v>Complete parts total</v>
      </c>
      <c r="H9" s="33" t="str">
        <f>IF(E9=0,B9,"")</f>
      </c>
      <c r="I9" s="2"/>
      <c r="J9" s="2" t="str">
        <v>USD per board</v>
      </c>
      <c r="K9" s="33" t="str">
        <f>IF(AND(ISNUMBER(H9),B4&gt;0),H9/B4,"")</f>
      </c>
      <c r="L9" s="2"/>
      <c r="M9" s="2"/>
      <c r="N9" s="2"/>
      <c r="O9" s="2"/>
      <c r="P9" s="2"/>
      <c r="Q9" s="2"/>
      <c r="R9" s="2"/>
      <c r="S9" s="2"/>
      <c r="T9" s="2"/>
    </row>
    <row r="10" ht="28" customHeight="1">
      <c r="A10" s="2" t="str">
        <v>Cost status</v>
      </c>
      <c r="B10" s="2" t="str">
        <f>IF(NOT(ISNUMBER(B4)),"Select board quantity",IF(B4=0,"No boards selected",IF(E9=0,"All included lines priced","INCOMPLETE - subtotal only")))</f>
        <v>INCOMPLETE - subtotal only</v>
      </c>
      <c r="C10" s="2"/>
      <c r="D10" s="2" t="str">
        <v>425 unique schematic designators, 113 source groups. Multipart P1 and MCUs counted once. Assembly/DNP variants remain unverified.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ht="28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ht="42" customHeight="1">
      <c r="A12" s="27" t="str">
        <v>References</v>
      </c>
      <c r="B12" s="27" t="str">
        <v>Source part / value</v>
      </c>
      <c r="C12" s="27" t="str">
        <v>Qty / board</v>
      </c>
      <c r="D12" s="27" t="str">
        <v>Include</v>
      </c>
      <c r="E12" s="27" t="str">
        <v>Base need</v>
      </c>
      <c r="F12" s="27" t="str">
        <v>Spares + setup</v>
      </c>
      <c r="G12" s="27" t="str">
        <v>Planned qty</v>
      </c>
      <c r="H12" s="27" t="str">
        <v>Free stock</v>
      </c>
      <c r="I12" s="27" t="str">
        <v>Open orders</v>
      </c>
      <c r="J12" s="27" t="str">
        <v>Net need</v>
      </c>
      <c r="K12" s="27" t="str">
        <v>Tier price USD</v>
      </c>
      <c r="L12" s="27" t="str">
        <v>Quote override USD</v>
      </c>
      <c r="M12" s="27" t="str">
        <v>Unit USD</v>
      </c>
      <c r="N12" s="27" t="str">
        <v>Planned cost USD</v>
      </c>
      <c r="O12" s="27" t="str">
        <v>Sourcing risk</v>
      </c>
      <c r="P12" s="27" t="str">
        <v>Selection / Rev B condition</v>
      </c>
      <c r="Q12" s="27" t="str">
        <v>Supplier</v>
      </c>
      <c r="R12" s="27" t="str">
        <v>Net cost USD</v>
      </c>
      <c r="S12" s="27" t="str">
        <v>Quote basis</v>
      </c>
      <c r="T12" s="27" t="str">
        <v>Price pressure</v>
      </c>
    </row>
    <row r="13" ht="48" customHeight="1">
      <c r="A13" s="15" t="str">
        <v>IC15</v>
      </c>
      <c r="B13" s="15" t="str">
        <v>BMI088</v>
      </c>
      <c r="C13" s="2" t="n">
        <v>1</v>
      </c>
      <c r="D13" s="29" t="str">
        <v>Yes</v>
      </c>
      <c r="E13" s="2" t="n">
        <f>IF(D13&lt;&gt;"Yes",0,IF(ISNUMBER($B$4),C13*$B$4,""))</f>
        <v>10</v>
      </c>
      <c r="F13" s="15" t="n">
        <f>IF(AND(ISNUMBER(E13),ISNUMBER($B$5),ISNUMBER($B$6)),IF(E13=0,0,ROUNDUP(E13*$B$5,0)+$B$6),"")</f>
        <v>3</v>
      </c>
      <c r="G13" s="2" t="n">
        <f>IF(AND(ISNUMBER(E13),ISNUMBER(F13)),E13+F13,"")</f>
        <v>13</v>
      </c>
      <c r="H13" s="29"/>
      <c r="I13" s="29"/>
      <c r="J13" s="2" t="str">
        <f>IF(AND(ISNUMBER(H13),ISNUMBER(I13)),MAX(0,G13-H13-I13),"")</f>
      </c>
      <c r="K13" s="31" t="n">
        <f>IF(ISNUMBER(G13),IF(G13=0,0,IF(G13&gt;='Price breaks'!B27,'Price breaks'!C27,IF(G13&gt;='Price breaks'!B26,'Price breaks'!C26,IF(G13&gt;='Price breaks'!B25,'Price breaks'!C25,IF(G13&gt;='Price breaks'!B24,'Price breaks'!C24,IF(G13&gt;='Price breaks'!B23,'Price breaks'!C23,IF(G13&gt;='Price breaks'!B22,'Price breaks'!C22,IF(G13&gt;='Price breaks'!B21,'Price breaks'!C21,'Price breaks'!C20)))))))),"")</f>
        <v>5.099</v>
      </c>
      <c r="L13" s="32"/>
      <c r="M13" s="31" t="n">
        <f>IF(D13&lt;&gt;"Yes","",IF(ISNUMBER(L13),L13,IF(ISNUMBER(K13),K13,"")))</f>
        <v>5.099</v>
      </c>
      <c r="N13" s="31" t="n">
        <f>IF(AND(ISNUMBER(G13),ISNUMBER(M13),ISNUMBER($B$7)),G13*M13*(1+$B$7),"")</f>
        <v>66.287</v>
      </c>
      <c r="O13" s="15" t="str">
        <v>High - no listed stock</v>
      </c>
      <c r="P13" s="15" t="str">
        <v>No restock estimate listed; quote multiple authorized channels before design lock.</v>
      </c>
      <c r="Q13" s="14" t="str">
        <v>Product page</v>
      </c>
      <c r="R13" s="33" t="str">
        <f>IF(AND(ISNUMBER(J13),ISNUMBER($B$7)),IF(J13=0,0,IF(ISNUMBER(L13),J13*L13*(1+$B$7),J13*(IF(J13&gt;='Price breaks'!B27,'Price breaks'!C27,IF(J13&gt;='Price breaks'!B26,'Price breaks'!C26,IF(J13&gt;='Price breaks'!B25,'Price breaks'!C25,IF(J13&gt;='Price breaks'!B24,'Price breaks'!C24,IF(J13&gt;='Price breaks'!B23,'Price breaks'!C23,IF(J13&gt;='Price breaks'!B22,'Price breaks'!C22,IF(J13&gt;='Price breaks'!B21,'Price breaks'!C21,'Price breaks'!C20))))))))*(1+$B$7))),"")</f>
      </c>
      <c r="S13" s="15" t="str">
        <v>Supplier snapshot 2026-09-14</v>
      </c>
      <c r="T13" s="15" t="str">
        <v>No forecast; use contingency input</v>
      </c>
    </row>
    <row r="14" ht="48" customHeight="1">
      <c r="A14" s="15" t="str">
        <v>U19</v>
      </c>
      <c r="B14" s="15" t="str">
        <v>HHM1595A1</v>
      </c>
      <c r="C14" s="2" t="n">
        <v>1</v>
      </c>
      <c r="D14" s="29" t="str">
        <v>Yes</v>
      </c>
      <c r="E14" s="2" t="n">
        <f>IF(D14&lt;&gt;"Yes",0,IF(ISNUMBER($B$4),C14*$B$4,""))</f>
        <v>10</v>
      </c>
      <c r="F14" s="15" t="n">
        <f>IF(AND(ISNUMBER(E14),ISNUMBER($B$5),ISNUMBER($B$6)),IF(E14=0,0,ROUNDUP(E14*$B$5,0)+$B$6),"")</f>
        <v>3</v>
      </c>
      <c r="G14" s="2" t="n">
        <f>IF(AND(ISNUMBER(E14),ISNUMBER(F14)),E14+F14,"")</f>
        <v>13</v>
      </c>
      <c r="H14" s="29"/>
      <c r="I14" s="29"/>
      <c r="J14" s="2" t="str">
        <f>IF(AND(ISNUMBER(H14),ISNUMBER(I14)),MAX(0,G14-H14-I14),"")</f>
      </c>
      <c r="K14" s="31" t="n">
        <f>IF(ISNUMBER(G14),IF(G14=0,0,IF(G14&gt;='Price breaks'!B65,'Price breaks'!C65,IF(G14&gt;='Price breaks'!B64,'Price breaks'!C64,IF(G14&gt;='Price breaks'!B63,'Price breaks'!C63,IF(G14&gt;='Price breaks'!B62,'Price breaks'!C62,IF(G14&gt;='Price breaks'!B61,'Price breaks'!C61,IF(G14&gt;='Price breaks'!B60,'Price breaks'!C60,IF(G14&gt;='Price breaks'!B59,'Price breaks'!C59,'Price breaks'!C58)))))))),"")</f>
        <v>0.359</v>
      </c>
      <c r="L14" s="32"/>
      <c r="M14" s="31" t="n">
        <f>IF(D14&lt;&gt;"Yes","",IF(ISNUMBER(L14),L14,IF(ISNUMBER(K14),K14,"")))</f>
        <v>0.359</v>
      </c>
      <c r="N14" s="31" t="n">
        <f>IF(AND(ISNUMBER(G14),ISNUMBER(M14),ISNUMBER($B$7)),G14*M14*(1+$B$7),"")</f>
        <v>4.667</v>
      </c>
      <c r="O14" s="15" t="str">
        <v>High - NRND lifecycle</v>
      </c>
      <c r="P14" s="15" t="str">
        <v>TDK Production (NRND), despite listed stock. Review RF redesign or bounded legacy reserve.</v>
      </c>
      <c r="Q14" s="14" t="str">
        <v>Product page</v>
      </c>
      <c r="R14" s="33" t="str">
        <f>IF(AND(ISNUMBER(J14),ISNUMBER($B$7)),IF(J14=0,0,IF(ISNUMBER(L14),J14*L14*(1+$B$7),J14*(IF(J14&gt;='Price breaks'!B65,'Price breaks'!C65,IF(J14&gt;='Price breaks'!B64,'Price breaks'!C64,IF(J14&gt;='Price breaks'!B63,'Price breaks'!C63,IF(J14&gt;='Price breaks'!B62,'Price breaks'!C62,IF(J14&gt;='Price breaks'!B61,'Price breaks'!C61,IF(J14&gt;='Price breaks'!B60,'Price breaks'!C60,IF(J14&gt;='Price breaks'!B59,'Price breaks'!C59,'Price breaks'!C58))))))))*(1+$B$7))),"")</f>
      </c>
      <c r="S14" s="15" t="str">
        <v>Supplier snapshot 2026-09-14</v>
      </c>
      <c r="T14" s="15" t="str">
        <v>No forecast; use contingency input</v>
      </c>
    </row>
    <row r="15" ht="48" customHeight="1">
      <c r="A15" s="15" t="str">
        <v>IC14</v>
      </c>
      <c r="B15" s="15" t="str">
        <v>ICM-42688-P</v>
      </c>
      <c r="C15" s="2" t="n">
        <v>1</v>
      </c>
      <c r="D15" s="29" t="str">
        <v>Yes</v>
      </c>
      <c r="E15" s="2" t="n">
        <f>IF(D15&lt;&gt;"Yes",0,IF(ISNUMBER($B$4),C15*$B$4,""))</f>
        <v>10</v>
      </c>
      <c r="F15" s="15" t="n">
        <f>IF(AND(ISNUMBER(E15),ISNUMBER($B$5),ISNUMBER($B$6)),IF(E15=0,0,ROUNDUP(E15*$B$5,0)+$B$6),"")</f>
        <v>3</v>
      </c>
      <c r="G15" s="2" t="n">
        <f>IF(AND(ISNUMBER(E15),ISNUMBER(F15)),E15+F15,"")</f>
        <v>13</v>
      </c>
      <c r="H15" s="29"/>
      <c r="I15" s="29"/>
      <c r="J15" s="2" t="str">
        <f>IF(AND(ISNUMBER(H15),ISNUMBER(I15)),MAX(0,G15-H15-I15),"")</f>
      </c>
      <c r="K15" s="31" t="n">
        <f>IF(ISNUMBER(G15),IF(G15=0,0,IF(G15&gt;='Price breaks'!B35,'Price breaks'!C35,IF(G15&gt;='Price breaks'!B34,'Price breaks'!C34,IF(G15&gt;='Price breaks'!B33,'Price breaks'!C33,IF(G15&gt;='Price breaks'!B32,'Price breaks'!C32,IF(G15&gt;='Price breaks'!B31,'Price breaks'!C31,IF(G15&gt;='Price breaks'!B30,'Price breaks'!C30,IF(G15&gt;='Price breaks'!B29,'Price breaks'!C29,'Price breaks'!C28)))))))),"")</f>
        <v>4.214</v>
      </c>
      <c r="L15" s="32"/>
      <c r="M15" s="31" t="n">
        <f>IF(D15&lt;&gt;"Yes","",IF(ISNUMBER(L15),L15,IF(ISNUMBER(K15),K15,"")))</f>
        <v>4.214</v>
      </c>
      <c r="N15" s="31" t="n">
        <f>IF(AND(ISNUMBER(G15),ISNUMBER(M15),ISNUMBER($B$7)),G15*M15*(1+$B$7),"")</f>
        <v>54.782000000000004</v>
      </c>
      <c r="O15" s="15" t="str">
        <v>High - no listed stock</v>
      </c>
      <c r="P15" s="15" t="str">
        <v>Listed incoming stock August 2027; confirm delivery for retained Rev B sensor.</v>
      </c>
      <c r="Q15" s="14" t="str">
        <v>Product page</v>
      </c>
      <c r="R15" s="33" t="str">
        <f>IF(AND(ISNUMBER(J15),ISNUMBER($B$7)),IF(J15=0,0,IF(ISNUMBER(L15),J15*L15*(1+$B$7),J15*(IF(J15&gt;='Price breaks'!B35,'Price breaks'!C35,IF(J15&gt;='Price breaks'!B34,'Price breaks'!C34,IF(J15&gt;='Price breaks'!B33,'Price breaks'!C33,IF(J15&gt;='Price breaks'!B32,'Price breaks'!C32,IF(J15&gt;='Price breaks'!B31,'Price breaks'!C31,IF(J15&gt;='Price breaks'!B30,'Price breaks'!C30,IF(J15&gt;='Price breaks'!B29,'Price breaks'!C29,'Price breaks'!C28))))))))*(1+$B$7))),"")</f>
      </c>
      <c r="S15" s="15" t="str">
        <v>Supplier snapshot 2026-09-14</v>
      </c>
      <c r="T15" s="15" t="str">
        <v>No forecast; use contingency input</v>
      </c>
    </row>
    <row r="16" ht="48" customHeight="1">
      <c r="A16" s="15" t="str">
        <v>U26</v>
      </c>
      <c r="B16" s="15" t="str">
        <v>LIS2MDLTR</v>
      </c>
      <c r="C16" s="2" t="n">
        <v>1</v>
      </c>
      <c r="D16" s="29" t="str">
        <v>Yes</v>
      </c>
      <c r="E16" s="2" t="n">
        <f>IF(D16&lt;&gt;"Yes",0,IF(ISNUMBER($B$4),C16*$B$4,""))</f>
        <v>10</v>
      </c>
      <c r="F16" s="15" t="n">
        <f>IF(AND(ISNUMBER(E16),ISNUMBER($B$5),ISNUMBER($B$6)),IF(E16=0,0,ROUNDUP(E16*$B$5,0)+$B$6),"")</f>
        <v>3</v>
      </c>
      <c r="G16" s="2" t="n">
        <f>IF(AND(ISNUMBER(E16),ISNUMBER(F16)),E16+F16,"")</f>
        <v>13</v>
      </c>
      <c r="H16" s="29"/>
      <c r="I16" s="29"/>
      <c r="J16" s="2" t="str">
        <f>IF(AND(ISNUMBER(H16),ISNUMBER(I16)),MAX(0,G16-H16-I16),"")</f>
      </c>
      <c r="K16" s="31" t="n">
        <f>IF(ISNUMBER(G16),IF(G16=0,0,IF(G16&gt;='Price breaks'!B51,'Price breaks'!C51,IF(G16&gt;='Price breaks'!B50,'Price breaks'!C50,IF(G16&gt;='Price breaks'!B49,'Price breaks'!C49,IF(G16&gt;='Price breaks'!B48,'Price breaks'!C48,IF(G16&gt;='Price breaks'!B47,'Price breaks'!C47,IF(G16&gt;='Price breaks'!B46,'Price breaks'!C46,IF(G16&gt;='Price breaks'!B45,'Price breaks'!C45,'Price breaks'!C44)))))))),"")</f>
        <v>2.335</v>
      </c>
      <c r="L16" s="32"/>
      <c r="M16" s="31" t="n">
        <f>IF(D16&lt;&gt;"Yes","",IF(ISNUMBER(L16),L16,IF(ISNUMBER(K16),K16,"")))</f>
        <v>2.335</v>
      </c>
      <c r="N16" s="31" t="n">
        <f>IF(AND(ISNUMBER(G16),ISNUMBER(M16),ISNUMBER($B$7)),G16*M16*(1+$B$7),"")</f>
        <v>30.355</v>
      </c>
      <c r="O16" s="15" t="str">
        <v>High - no listed stock</v>
      </c>
      <c r="P16" s="15" t="str">
        <v>Restock estimate unavailable; confirm before retaining in Rev B.</v>
      </c>
      <c r="Q16" s="14" t="str">
        <v>Product page</v>
      </c>
      <c r="R16" s="33" t="str">
        <f>IF(AND(ISNUMBER(J16),ISNUMBER($B$7)),IF(J16=0,0,IF(ISNUMBER(L16),J16*L16*(1+$B$7),J16*(IF(J16&gt;='Price breaks'!B51,'Price breaks'!C51,IF(J16&gt;='Price breaks'!B50,'Price breaks'!C50,IF(J16&gt;='Price breaks'!B49,'Price breaks'!C49,IF(J16&gt;='Price breaks'!B48,'Price breaks'!C48,IF(J16&gt;='Price breaks'!B47,'Price breaks'!C47,IF(J16&gt;='Price breaks'!B46,'Price breaks'!C46,IF(J16&gt;='Price breaks'!B45,'Price breaks'!C45,'Price breaks'!C44))))))))*(1+$B$7))),"")</f>
      </c>
      <c r="S16" s="15" t="str">
        <v>Supplier snapshot 2026-09-14</v>
      </c>
      <c r="T16" s="15" t="str">
        <v>No forecast; use contingency input</v>
      </c>
    </row>
    <row r="17" ht="48" customHeight="1">
      <c r="A17" s="15" t="str">
        <v>U27</v>
      </c>
      <c r="B17" s="15" t="str">
        <v>LPS22HBTR</v>
      </c>
      <c r="C17" s="2" t="n">
        <v>1</v>
      </c>
      <c r="D17" s="29" t="str">
        <v>Yes</v>
      </c>
      <c r="E17" s="2" t="n">
        <f>IF(D17&lt;&gt;"Yes",0,IF(ISNUMBER($B$4),C17*$B$4,""))</f>
        <v>10</v>
      </c>
      <c r="F17" s="15" t="n">
        <f>IF(AND(ISNUMBER(E17),ISNUMBER($B$5),ISNUMBER($B$6)),IF(E17=0,0,ROUNDUP(E17*$B$5,0)+$B$6),"")</f>
        <v>3</v>
      </c>
      <c r="G17" s="2" t="n">
        <f>IF(AND(ISNUMBER(E17),ISNUMBER(F17)),E17+F17,"")</f>
        <v>13</v>
      </c>
      <c r="H17" s="29"/>
      <c r="I17" s="29"/>
      <c r="J17" s="2" t="str">
        <f>IF(AND(ISNUMBER(H17),ISNUMBER(I17)),MAX(0,G17-H17-I17),"")</f>
      </c>
      <c r="K17" s="31" t="n">
        <f>IF(ISNUMBER(G17),IF(G17=0,0,IF(G17&gt;='Price breaks'!B43,'Price breaks'!C43,IF(G17&gt;='Price breaks'!B42,'Price breaks'!C42,IF(G17&gt;='Price breaks'!B41,'Price breaks'!C41,IF(G17&gt;='Price breaks'!B40,'Price breaks'!C40,IF(G17&gt;='Price breaks'!B39,'Price breaks'!C39,IF(G17&gt;='Price breaks'!B38,'Price breaks'!C38,IF(G17&gt;='Price breaks'!B37,'Price breaks'!C37,'Price breaks'!C36)))))))),"")</f>
        <v>2.707</v>
      </c>
      <c r="L17" s="32"/>
      <c r="M17" s="31" t="n">
        <f>IF(D17&lt;&gt;"Yes","",IF(ISNUMBER(L17),L17,IF(ISNUMBER(K17),K17,"")))</f>
        <v>2.707</v>
      </c>
      <c r="N17" s="31" t="n">
        <f>IF(AND(ISNUMBER(G17),ISNUMBER(M17),ISNUMBER($B$7)),G17*M17*(1+$B$7),"")</f>
        <v>35.190999999999995</v>
      </c>
      <c r="O17" s="15" t="str">
        <v>High - no listed stock</v>
      </c>
      <c r="P17" s="15" t="str">
        <v>Listed incoming date January 2028 differs from standard lead time; request commitment.</v>
      </c>
      <c r="Q17" s="14" t="str">
        <v>Product page</v>
      </c>
      <c r="R17" s="33" t="str">
        <f>IF(AND(ISNUMBER(J17),ISNUMBER($B$7)),IF(J17=0,0,IF(ISNUMBER(L17),J17*L17*(1+$B$7),J17*(IF(J17&gt;='Price breaks'!B43,'Price breaks'!C43,IF(J17&gt;='Price breaks'!B42,'Price breaks'!C42,IF(J17&gt;='Price breaks'!B41,'Price breaks'!C41,IF(J17&gt;='Price breaks'!B40,'Price breaks'!C40,IF(J17&gt;='Price breaks'!B39,'Price breaks'!C39,IF(J17&gt;='Price breaks'!B38,'Price breaks'!C38,IF(J17&gt;='Price breaks'!B37,'Price breaks'!C37,'Price breaks'!C36))))))))*(1+$B$7))),"")</f>
      </c>
      <c r="S17" s="15" t="str">
        <v>Supplier snapshot 2026-09-14</v>
      </c>
      <c r="T17" s="15" t="str">
        <v>No forecast; use contingency input</v>
      </c>
    </row>
    <row r="18" ht="48" customHeight="1">
      <c r="A18" s="15" t="str">
        <v>U14</v>
      </c>
      <c r="B18" s="15" t="str">
        <v>STM32F446RET6</v>
      </c>
      <c r="C18" s="2" t="n">
        <v>1</v>
      </c>
      <c r="D18" s="29" t="str">
        <v>Yes</v>
      </c>
      <c r="E18" s="2" t="n">
        <f>IF(D18&lt;&gt;"Yes",0,IF(ISNUMBER($B$4),C18*$B$4,""))</f>
        <v>10</v>
      </c>
      <c r="F18" s="15" t="n">
        <f>IF(AND(ISNUMBER(E18),ISNUMBER($B$5),ISNUMBER($B$6)),IF(E18=0,0,ROUNDUP(E18*$B$5,0)+$B$6),"")</f>
        <v>3</v>
      </c>
      <c r="G18" s="2" t="n">
        <f>IF(AND(ISNUMBER(E18),ISNUMBER(F18)),E18+F18,"")</f>
        <v>13</v>
      </c>
      <c r="H18" s="29"/>
      <c r="I18" s="29"/>
      <c r="J18" s="2" t="str">
        <f>IF(AND(ISNUMBER(H18),ISNUMBER(I18)),MAX(0,G18-H18-I18),"")</f>
      </c>
      <c r="K18" s="31" t="n">
        <f>IF(ISNUMBER(G18),IF(G18=0,0,IF(G18&gt;='Price breaks'!B19,'Price breaks'!C19,IF(G18&gt;='Price breaks'!B18,'Price breaks'!C18,IF(G18&gt;='Price breaks'!B17,'Price breaks'!C17,IF(G18&gt;='Price breaks'!B16,'Price breaks'!C16,IF(G18&gt;='Price breaks'!B15,'Price breaks'!C15,'Price breaks'!C14)))))),"")</f>
        <v>7.981</v>
      </c>
      <c r="L18" s="32"/>
      <c r="M18" s="31" t="n">
        <f>IF(D18&lt;&gt;"Yes","",IF(ISNUMBER(L18),L18,IF(ISNUMBER(K18),K18,"")))</f>
        <v>7.981</v>
      </c>
      <c r="N18" s="31" t="n">
        <f>IF(AND(ISNUMBER(G18),ISNUMBER(M18),ISNUMBER($B$7)),G18*M18*(1+$B$7),"")</f>
        <v>103.753</v>
      </c>
      <c r="O18" s="15" t="str">
        <v>High - no listed stock</v>
      </c>
      <c r="P18" s="15" t="str">
        <v>Obtain allocation/confirmed delivery. Listed replenishment dates are estimates.</v>
      </c>
      <c r="Q18" s="14" t="str">
        <v>Product page</v>
      </c>
      <c r="R18" s="33" t="str">
        <f>IF(AND(ISNUMBER(J18),ISNUMBER($B$7)),IF(J18=0,0,IF(ISNUMBER(L18),J18*L18*(1+$B$7),J18*(IF(J18&gt;='Price breaks'!B19,'Price breaks'!C19,IF(J18&gt;='Price breaks'!B18,'Price breaks'!C18,IF(J18&gt;='Price breaks'!B17,'Price breaks'!C17,IF(J18&gt;='Price breaks'!B16,'Price breaks'!C16,IF(J18&gt;='Price breaks'!B15,'Price breaks'!C15,'Price breaks'!C14))))))*(1+$B$7))),"")</f>
      </c>
      <c r="S18" s="15" t="str">
        <v>Supplier snapshot 2026-09-14</v>
      </c>
      <c r="T18" s="15" t="str">
        <v>No forecast; use contingency input</v>
      </c>
    </row>
    <row r="19" ht="48" customHeight="1">
      <c r="A19" s="15" t="str">
        <v>U10</v>
      </c>
      <c r="B19" s="15" t="str">
        <v>STM32H743IIK6</v>
      </c>
      <c r="C19" s="2" t="n">
        <v>1</v>
      </c>
      <c r="D19" s="29" t="str">
        <v>Yes</v>
      </c>
      <c r="E19" s="2" t="n">
        <f>IF(D19&lt;&gt;"Yes",0,IF(ISNUMBER($B$4),C19*$B$4,""))</f>
        <v>10</v>
      </c>
      <c r="F19" s="15" t="n">
        <f>IF(AND(ISNUMBER(E19),ISNUMBER($B$5),ISNUMBER($B$6)),IF(E19=0,0,ROUNDUP(E19*$B$5,0)+$B$6),"")</f>
        <v>3</v>
      </c>
      <c r="G19" s="2" t="n">
        <f>IF(AND(ISNUMBER(E19),ISNUMBER(F19)),E19+F19,"")</f>
        <v>13</v>
      </c>
      <c r="H19" s="29"/>
      <c r="I19" s="29"/>
      <c r="J19" s="2" t="str">
        <f>IF(AND(ISNUMBER(H19),ISNUMBER(I19)),MAX(0,G19-H19-I19),"")</f>
      </c>
      <c r="K19" s="31" t="n">
        <f>IF(ISNUMBER(G19),IF(G19=0,0,IF(G19&gt;='Price breaks'!B13,'Price breaks'!C13,IF(G19&gt;='Price breaks'!B12,'Price breaks'!C12,IF(G19&gt;='Price breaks'!B11,'Price breaks'!C11,IF(G19&gt;='Price breaks'!B10,'Price breaks'!C10,IF(G19&gt;='Price breaks'!B9,'Price breaks'!C9,'Price breaks'!C8)))))),"")</f>
        <v>15.867</v>
      </c>
      <c r="L19" s="32"/>
      <c r="M19" s="31" t="n">
        <f>IF(D19&lt;&gt;"Yes","",IF(ISNUMBER(L19),L19,IF(ISNUMBER(K19),K19,"")))</f>
        <v>15.867</v>
      </c>
      <c r="N19" s="31" t="n">
        <f>IF(AND(ISNUMBER(G19),ISNUMBER(M19),ISNUMBER($B$7)),G19*M19*(1+$B$7),"")</f>
        <v>206.27100000000002</v>
      </c>
      <c r="O19" s="15" t="str">
        <v>High - no listed stock</v>
      </c>
      <c r="P19" s="15" t="str">
        <v>Secure a dated quote for confirmed builds; BGA version, not IIT6 LQFP.</v>
      </c>
      <c r="Q19" s="14" t="str">
        <v>Product page</v>
      </c>
      <c r="R19" s="33" t="str">
        <f>IF(AND(ISNUMBER(J19),ISNUMBER($B$7)),IF(J19=0,0,IF(ISNUMBER(L19),J19*L19*(1+$B$7),J19*(IF(J19&gt;='Price breaks'!B13,'Price breaks'!C13,IF(J19&gt;='Price breaks'!B12,'Price breaks'!C12,IF(J19&gt;='Price breaks'!B11,'Price breaks'!C11,IF(J19&gt;='Price breaks'!B10,'Price breaks'!C10,IF(J19&gt;='Price breaks'!B9,'Price breaks'!C9,'Price breaks'!C8))))))*(1+$B$7))),"")</f>
      </c>
      <c r="S19" s="15" t="str">
        <v>Supplier snapshot 2026-09-14</v>
      </c>
      <c r="T19" s="15" t="str">
        <v>No forecast; use contingency input</v>
      </c>
    </row>
    <row r="20" ht="48" customHeight="1">
      <c r="A20" s="15" t="str">
        <v>IC16</v>
      </c>
      <c r="B20" s="15" t="str">
        <v>TESEO-LIV3R</v>
      </c>
      <c r="C20" s="2" t="n">
        <v>1</v>
      </c>
      <c r="D20" s="29" t="str">
        <v>Yes</v>
      </c>
      <c r="E20" s="2" t="n">
        <f>IF(D20&lt;&gt;"Yes",0,IF(ISNUMBER($B$4),C20*$B$4,""))</f>
        <v>10</v>
      </c>
      <c r="F20" s="15" t="n">
        <f>IF(AND(ISNUMBER(E20),ISNUMBER($B$5),ISNUMBER($B$6)),IF(E20=0,0,ROUNDUP(E20*$B$5,0)+$B$6),"")</f>
        <v>3</v>
      </c>
      <c r="G20" s="2" t="n">
        <f>IF(AND(ISNUMBER(E20),ISNUMBER(F20)),E20+F20,"")</f>
        <v>13</v>
      </c>
      <c r="H20" s="29"/>
      <c r="I20" s="29"/>
      <c r="J20" s="2" t="str">
        <f>IF(AND(ISNUMBER(H20),ISNUMBER(I20)),MAX(0,G20-H20-I20),"")</f>
      </c>
      <c r="K20" s="31" t="n">
        <f>IF(ISNUMBER(G20),IF(G20=0,0,IF(G20&gt;='Price breaks'!B57,'Price breaks'!C57,IF(G20&gt;='Price breaks'!B56,'Price breaks'!C56,IF(G20&gt;='Price breaks'!B55,'Price breaks'!C55,IF(G20&gt;='Price breaks'!B54,'Price breaks'!C54,IF(G20&gt;='Price breaks'!B53,'Price breaks'!C53,'Price breaks'!C52)))))),"")</f>
        <v>8.012</v>
      </c>
      <c r="L20" s="32"/>
      <c r="M20" s="31" t="n">
        <f>IF(D20&lt;&gt;"Yes","",IF(ISNUMBER(L20),L20,IF(ISNUMBER(K20),K20,"")))</f>
        <v>8.012</v>
      </c>
      <c r="N20" s="31" t="n">
        <f>IF(AND(ISNUMBER(G20),ISNUMBER(M20),ISNUMBER($B$7)),G20*M20*(1+$B$7),"")</f>
        <v>104.156</v>
      </c>
      <c r="O20" s="15" t="str">
        <v>High - last-time-buy / NRND</v>
      </c>
      <c r="P20" s="15" t="str">
        <v>DigiKey lists LTB 2026-11-14; ST NRND. Prefer redesign decision for new Rev B; buy only supported legacy need.</v>
      </c>
      <c r="Q20" s="14" t="str">
        <v>Product page</v>
      </c>
      <c r="R20" s="33" t="str">
        <f>IF(AND(ISNUMBER(J20),ISNUMBER($B$7)),IF(J20=0,0,IF(ISNUMBER(L20),J20*L20*(1+$B$7),J20*(IF(J20&gt;='Price breaks'!B57,'Price breaks'!C57,IF(J20&gt;='Price breaks'!B56,'Price breaks'!C56,IF(J20&gt;='Price breaks'!B55,'Price breaks'!C55,IF(J20&gt;='Price breaks'!B54,'Price breaks'!C54,IF(J20&gt;='Price breaks'!B53,'Price breaks'!C53,'Price breaks'!C52))))))*(1+$B$7))),"")</f>
      </c>
      <c r="S20" s="15" t="str">
        <v>Supplier snapshot 2026-09-14</v>
      </c>
      <c r="T20" s="15" t="str">
        <v>No forecast; use contingency input</v>
      </c>
    </row>
    <row r="21" ht="48" customHeight="1">
      <c r="A21" s="15" t="str">
        <v>U17</v>
      </c>
      <c r="B21" s="15" t="str">
        <v>DW1000-I-TR13</v>
      </c>
      <c r="C21" s="2" t="n">
        <v>1</v>
      </c>
      <c r="D21" s="29" t="str">
        <v>Yes</v>
      </c>
      <c r="E21" s="2" t="n">
        <f>IF(D21&lt;&gt;"Yes",0,IF(ISNUMBER($B$4),C21*$B$4,""))</f>
        <v>10</v>
      </c>
      <c r="F21" s="15" t="n">
        <f>IF(AND(ISNUMBER(E21),ISNUMBER($B$5),ISNUMBER($B$6)),IF(E21=0,0,ROUNDUP(E21*$B$5,0)+$B$6),"")</f>
        <v>3</v>
      </c>
      <c r="G21" s="2" t="n">
        <f>IF(AND(ISNUMBER(E21),ISNUMBER(F21)),E21+F21,"")</f>
        <v>13</v>
      </c>
      <c r="H21" s="29"/>
      <c r="I21" s="29"/>
      <c r="J21" s="2" t="str">
        <f>IF(AND(ISNUMBER(H21),ISNUMBER(I21)),MAX(0,G21-H21-I21),"")</f>
      </c>
      <c r="K21" s="31" t="n">
        <f>IF(ISNUMBER(G21),IF(G21=0,0,IF(G21&gt;='Price breaks'!B68,'Price breaks'!C68,IF(G21&gt;='Price breaks'!B67,'Price breaks'!C67,'Price breaks'!C66))),"")</f>
        <v>11.59</v>
      </c>
      <c r="L21" s="32"/>
      <c r="M21" s="31" t="n">
        <f>IF(D21&lt;&gt;"Yes","",IF(ISNUMBER(L21),L21,IF(ISNUMBER(K21),K21,"")))</f>
        <v>11.59</v>
      </c>
      <c r="N21" s="31" t="n">
        <f>IF(AND(ISNUMBER(G21),ISNUMBER(M21),ISNUMBER($B$7)),G21*M21*(1+$B$7),"")</f>
        <v>150.67</v>
      </c>
      <c r="O21" s="15" t="str">
        <v>Medium - limited channel stock</v>
      </c>
      <c r="P21" s="15" t="str">
        <v>Qorvo longevity lists 2028; not an EOL notice. Secure confirmed build need if retained.</v>
      </c>
      <c r="Q21" s="14" t="str">
        <v>Product page</v>
      </c>
      <c r="R21" s="33" t="str">
        <f>IF(AND(ISNUMBER(J21),ISNUMBER($B$7)),IF(J21=0,0,IF(ISNUMBER(L21),J21*L21*(1+$B$7),J21*(IF(J21&gt;='Price breaks'!B68,'Price breaks'!C68,IF(J21&gt;='Price breaks'!B67,'Price breaks'!C67,'Price breaks'!C66)))*(1+$B$7))),"")</f>
      </c>
      <c r="S21" s="15" t="str">
        <v>Supplier snapshot 2026-09-14</v>
      </c>
      <c r="T21" s="15" t="str">
        <v>No forecast; use contingency input</v>
      </c>
    </row>
    <row r="22" ht="48" customHeight="1">
      <c r="A22" s="15" t="str">
        <v>B1</v>
      </c>
      <c r="B22" s="15" t="str">
        <v>FM25V01A-GTR</v>
      </c>
      <c r="C22" s="2" t="n">
        <v>1</v>
      </c>
      <c r="D22" s="29" t="str">
        <v>Yes</v>
      </c>
      <c r="E22" s="2" t="n">
        <f>IF(D22&lt;&gt;"Yes",0,IF(ISNUMBER($B$4),C22*$B$4,""))</f>
        <v>10</v>
      </c>
      <c r="F22" s="15" t="n">
        <f>IF(AND(ISNUMBER(E22),ISNUMBER($B$5),ISNUMBER($B$6)),IF(E22=0,0,ROUNDUP(E22*$B$5,0)+$B$6),"")</f>
        <v>3</v>
      </c>
      <c r="G22" s="2" t="n">
        <f>IF(AND(ISNUMBER(E22),ISNUMBER(F22)),E22+F22,"")</f>
        <v>13</v>
      </c>
      <c r="H22" s="29"/>
      <c r="I22" s="29"/>
      <c r="J22" s="2" t="str">
        <f>IF(AND(ISNUMBER(H22),ISNUMBER(I22)),MAX(0,G22-H22-I22),"")</f>
      </c>
      <c r="K22" s="31" t="n">
        <f>IF(ISNUMBER(G22),IF(G22=0,0,IF(G22&gt;='Price breaks'!B94,'Price breaks'!C94,IF(G22&gt;='Price breaks'!B93,'Price breaks'!C93,IF(G22&gt;='Price breaks'!B92,'Price breaks'!C92,IF(G22&gt;='Price breaks'!B91,'Price breaks'!C91,IF(G22&gt;='Price breaks'!B90,'Price breaks'!C90,IF(G22&gt;='Price breaks'!B89,'Price breaks'!C89,IF(G22&gt;='Price breaks'!B88,'Price breaks'!C88,'Price breaks'!C87)))))))),"")</f>
        <v>6.032</v>
      </c>
      <c r="L22" s="32"/>
      <c r="M22" s="31" t="n">
        <f>IF(D22&lt;&gt;"Yes","",IF(ISNUMBER(L22),L22,IF(ISNUMBER(K22),K22,"")))</f>
        <v>6.032</v>
      </c>
      <c r="N22" s="31" t="n">
        <f>IF(AND(ISNUMBER(G22),ISNUMBER(M22),ISNUMBER($B$7)),G22*M22*(1+$B$7),"")</f>
        <v>78.416</v>
      </c>
      <c r="O22" s="15" t="str">
        <v>Routine - stock listed</v>
      </c>
      <c r="P22" s="15" t="str">
        <v>Specialized FRAM; keep a small project reserve if retained, not a speculative full reel.</v>
      </c>
      <c r="Q22" s="14" t="str">
        <v>Product page</v>
      </c>
      <c r="R22" s="33" t="str">
        <f>IF(AND(ISNUMBER(J22),ISNUMBER($B$7)),IF(J22=0,0,IF(ISNUMBER(L22),J22*L22*(1+$B$7),J22*(IF(J22&gt;='Price breaks'!B94,'Price breaks'!C94,IF(J22&gt;='Price breaks'!B93,'Price breaks'!C93,IF(J22&gt;='Price breaks'!B92,'Price breaks'!C92,IF(J22&gt;='Price breaks'!B91,'Price breaks'!C91,IF(J22&gt;='Price breaks'!B90,'Price breaks'!C90,IF(J22&gt;='Price breaks'!B89,'Price breaks'!C89,IF(J22&gt;='Price breaks'!B88,'Price breaks'!C88,'Price breaks'!C87))))))))*(1+$B$7))),"")</f>
      </c>
      <c r="S22" s="15" t="str">
        <v>Supplier snapshot 2026-09-14</v>
      </c>
      <c r="T22" s="15" t="str">
        <v>No forecast; use contingency input</v>
      </c>
    </row>
    <row r="23" ht="48" customHeight="1">
      <c r="A23" s="15" t="str">
        <v>U6</v>
      </c>
      <c r="B23" s="15" t="str">
        <v>LAN7800/Y9X</v>
      </c>
      <c r="C23" s="2" t="n">
        <v>1</v>
      </c>
      <c r="D23" s="29" t="str">
        <v>Yes</v>
      </c>
      <c r="E23" s="2" t="n">
        <f>IF(D23&lt;&gt;"Yes",0,IF(ISNUMBER($B$4),C23*$B$4,""))</f>
        <v>10</v>
      </c>
      <c r="F23" s="15" t="n">
        <f>IF(AND(ISNUMBER(E23),ISNUMBER($B$5),ISNUMBER($B$6)),IF(E23=0,0,ROUNDUP(E23*$B$5,0)+$B$6),"")</f>
        <v>3</v>
      </c>
      <c r="G23" s="2" t="n">
        <f>IF(AND(ISNUMBER(E23),ISNUMBER(F23)),E23+F23,"")</f>
        <v>13</v>
      </c>
      <c r="H23" s="29"/>
      <c r="I23" s="29"/>
      <c r="J23" s="2" t="str">
        <f>IF(AND(ISNUMBER(H23),ISNUMBER(I23)),MAX(0,G23-H23-I23),"")</f>
      </c>
      <c r="K23" s="31" t="n">
        <f>IF(ISNUMBER(G23),IF(G23=0,0,IF(G23&gt;='Price breaks'!B83,'Price breaks'!C83,IF(G23&gt;='Price breaks'!B82,'Price breaks'!C82,'Price breaks'!C81))),"")</f>
        <v>8.68</v>
      </c>
      <c r="L23" s="32"/>
      <c r="M23" s="31" t="n">
        <f>IF(D23&lt;&gt;"Yes","",IF(ISNUMBER(L23),L23,IF(ISNUMBER(K23),K23,"")))</f>
        <v>8.68</v>
      </c>
      <c r="N23" s="31" t="n">
        <f>IF(AND(ISNUMBER(G23),ISNUMBER(M23),ISNUMBER($B$7)),G23*M23*(1+$B$7),"")</f>
        <v>112.84</v>
      </c>
      <c r="O23" s="15" t="str">
        <v>Medium - specialized interface</v>
      </c>
      <c r="P23" s="15" t="str">
        <v>Commercial-temperature source code; review grade before ordering for flight hardware.</v>
      </c>
      <c r="Q23" s="14" t="str">
        <v>Product page</v>
      </c>
      <c r="R23" s="33" t="str">
        <f>IF(AND(ISNUMBER(J23),ISNUMBER($B$7)),IF(J23=0,0,IF(ISNUMBER(L23),J23*L23*(1+$B$7),J23*(IF(J23&gt;='Price breaks'!B83,'Price breaks'!C83,IF(J23&gt;='Price breaks'!B82,'Price breaks'!C82,'Price breaks'!C81)))*(1+$B$7))),"")</f>
      </c>
      <c r="S23" s="15" t="str">
        <v>Supplier snapshot 2026-09-14</v>
      </c>
      <c r="T23" s="15" t="str">
        <v>No forecast; use contingency input</v>
      </c>
    </row>
    <row r="24" ht="48" customHeight="1">
      <c r="A24" s="15" t="str">
        <v>U15</v>
      </c>
      <c r="B24" s="15" t="str">
        <v>RFX2401C</v>
      </c>
      <c r="C24" s="2" t="n">
        <v>1</v>
      </c>
      <c r="D24" s="29" t="str">
        <v>Yes</v>
      </c>
      <c r="E24" s="2" t="n">
        <f>IF(D24&lt;&gt;"Yes",0,IF(ISNUMBER($B$4),C24*$B$4,""))</f>
        <v>10</v>
      </c>
      <c r="F24" s="15" t="n">
        <f>IF(AND(ISNUMBER(E24),ISNUMBER($B$5),ISNUMBER($B$6)),IF(E24=0,0,ROUNDUP(E24*$B$5,0)+$B$6),"")</f>
        <v>3</v>
      </c>
      <c r="G24" s="2" t="n">
        <f>IF(AND(ISNUMBER(E24),ISNUMBER(F24)),E24+F24,"")</f>
        <v>13</v>
      </c>
      <c r="H24" s="29"/>
      <c r="I24" s="29"/>
      <c r="J24" s="2" t="str">
        <f>IF(AND(ISNUMBER(H24),ISNUMBER(I24)),MAX(0,G24-H24-I24),"")</f>
      </c>
      <c r="K24" s="31" t="n">
        <f>IF(ISNUMBER(G24),IF(G24=0,0,IF(G24&gt;='Price breaks'!B101,'Price breaks'!C101,IF(G24&gt;='Price breaks'!B100,'Price breaks'!C100,IF(G24&gt;='Price breaks'!B99,'Price breaks'!C99,IF(G24&gt;='Price breaks'!B98,'Price breaks'!C98,IF(G24&gt;='Price breaks'!B97,'Price breaks'!C97,IF(G24&gt;='Price breaks'!B96,'Price breaks'!C96,'Price breaks'!C95))))))),"")</f>
        <v>1.494</v>
      </c>
      <c r="L24" s="32"/>
      <c r="M24" s="31" t="n">
        <f>IF(D24&lt;&gt;"Yes","",IF(ISNUMBER(L24),L24,IF(ISNUMBER(K24),K24,"")))</f>
        <v>1.494</v>
      </c>
      <c r="N24" s="31" t="n">
        <f>IF(AND(ISNUMBER(G24),ISNUMBER(M24),ISNUMBER($B$7)),G24*M24*(1+$B$7),"")</f>
        <v>19.422</v>
      </c>
      <c r="O24" s="15" t="str">
        <v>Routine - stock listed</v>
      </c>
      <c r="P24" s="15" t="str">
        <v>No present shortage evidenced at this source; buy normal batch.</v>
      </c>
      <c r="Q24" s="14" t="str">
        <v>Product page</v>
      </c>
      <c r="R24" s="33" t="str">
        <f>IF(AND(ISNUMBER(J24),ISNUMBER($B$7)),IF(J24=0,0,IF(ISNUMBER(L24),J24*L24*(1+$B$7),J24*(IF(J24&gt;='Price breaks'!B101,'Price breaks'!C101,IF(J24&gt;='Price breaks'!B100,'Price breaks'!C100,IF(J24&gt;='Price breaks'!B99,'Price breaks'!C99,IF(J24&gt;='Price breaks'!B98,'Price breaks'!C98,IF(J24&gt;='Price breaks'!B97,'Price breaks'!C97,IF(J24&gt;='Price breaks'!B96,'Price breaks'!C96,'Price breaks'!C95)))))))*(1+$B$7))),"")</f>
      </c>
      <c r="S24" s="15" t="str">
        <v>Supplier snapshot 2026-09-14</v>
      </c>
      <c r="T24" s="15" t="str">
        <v>No forecast; use contingency input</v>
      </c>
    </row>
    <row r="25" ht="48" customHeight="1">
      <c r="A25" s="15" t="str">
        <v>U18</v>
      </c>
      <c r="B25" s="15" t="str">
        <v>SKY13585-679LF</v>
      </c>
      <c r="C25" s="2" t="n">
        <v>1</v>
      </c>
      <c r="D25" s="29" t="str">
        <v>Yes</v>
      </c>
      <c r="E25" s="2" t="n">
        <f>IF(D25&lt;&gt;"Yes",0,IF(ISNUMBER($B$4),C25*$B$4,""))</f>
        <v>10</v>
      </c>
      <c r="F25" s="15" t="n">
        <f>IF(AND(ISNUMBER(E25),ISNUMBER($B$5),ISNUMBER($B$6)),IF(E25=0,0,ROUNDUP(E25*$B$5,0)+$B$6),"")</f>
        <v>3</v>
      </c>
      <c r="G25" s="2" t="n">
        <f>IF(AND(ISNUMBER(E25),ISNUMBER(F25)),E25+F25,"")</f>
        <v>13</v>
      </c>
      <c r="H25" s="29"/>
      <c r="I25" s="29"/>
      <c r="J25" s="2" t="str">
        <f>IF(AND(ISNUMBER(H25),ISNUMBER(I25)),MAX(0,G25-H25-I25),"")</f>
      </c>
      <c r="K25" s="31" t="n">
        <f>IF(ISNUMBER(G25),IF(G25=0,0,IF(G25&gt;='Price breaks'!B108,'Price breaks'!C108,IF(G25&gt;='Price breaks'!B107,'Price breaks'!C107,IF(G25&gt;='Price breaks'!B106,'Price breaks'!C106,IF(G25&gt;='Price breaks'!B105,'Price breaks'!C105,IF(G25&gt;='Price breaks'!B104,'Price breaks'!C104,IF(G25&gt;='Price breaks'!B103,'Price breaks'!C103,'Price breaks'!C102))))))),"")</f>
        <v>0.615</v>
      </c>
      <c r="L25" s="32"/>
      <c r="M25" s="31" t="n">
        <f>IF(D25&lt;&gt;"Yes","",IF(ISNUMBER(L25),L25,IF(ISNUMBER(K25),K25,"")))</f>
        <v>0.615</v>
      </c>
      <c r="N25" s="31" t="n">
        <f>IF(AND(ISNUMBER(G25),ISNUMBER(M25),ISNUMBER($B$7)),G25*M25*(1+$B$7),"")</f>
        <v>7.995</v>
      </c>
      <c r="O25" s="15" t="str">
        <v>Routine - stock listed</v>
      </c>
      <c r="P25" s="15" t="str">
        <v>No present shortage evidenced at this source; buy normal batch.</v>
      </c>
      <c r="Q25" s="14" t="str">
        <v>Product page</v>
      </c>
      <c r="R25" s="33" t="str">
        <f>IF(AND(ISNUMBER(J25),ISNUMBER($B$7)),IF(J25=0,0,IF(ISNUMBER(L25),J25*L25*(1+$B$7),J25*(IF(J25&gt;='Price breaks'!B108,'Price breaks'!C108,IF(J25&gt;='Price breaks'!B107,'Price breaks'!C107,IF(J25&gt;='Price breaks'!B106,'Price breaks'!C106,IF(J25&gt;='Price breaks'!B105,'Price breaks'!C105,IF(J25&gt;='Price breaks'!B104,'Price breaks'!C104,IF(J25&gt;='Price breaks'!B103,'Price breaks'!C103,'Price breaks'!C102)))))))*(1+$B$7))),"")</f>
      </c>
      <c r="S25" s="15" t="str">
        <v>Supplier snapshot 2026-09-14</v>
      </c>
      <c r="T25" s="15" t="str">
        <v>No forecast; use contingency input</v>
      </c>
    </row>
    <row r="26" ht="48" customHeight="1">
      <c r="A26" s="15" t="str">
        <v>IC3</v>
      </c>
      <c r="B26" s="15" t="str">
        <v>ST33HTPH2X32AHE4</v>
      </c>
      <c r="C26" s="2" t="n">
        <v>1</v>
      </c>
      <c r="D26" s="29" t="str">
        <v>Yes</v>
      </c>
      <c r="E26" s="2" t="n">
        <f>IF(D26&lt;&gt;"Yes",0,IF(ISNUMBER($B$4),C26*$B$4,""))</f>
        <v>10</v>
      </c>
      <c r="F26" s="15" t="n">
        <f>IF(AND(ISNUMBER(E26),ISNUMBER($B$5),ISNUMBER($B$6)),IF(E26=0,0,ROUNDUP(E26*$B$5,0)+$B$6),"")</f>
        <v>3</v>
      </c>
      <c r="G26" s="2" t="n">
        <f>IF(AND(ISNUMBER(E26),ISNUMBER(F26)),E26+F26,"")</f>
        <v>13</v>
      </c>
      <c r="H26" s="29"/>
      <c r="I26" s="29"/>
      <c r="J26" s="2" t="str">
        <f>IF(AND(ISNUMBER(H26),ISNUMBER(I26)),MAX(0,G26-H26-I26),"")</f>
      </c>
      <c r="K26" s="31" t="n">
        <f>IF(ISNUMBER(G26),IF(G26=0,0,IF(G26&gt;='Price breaks'!B80,'Price breaks'!C80,IF(G26&gt;='Price breaks'!B79,'Price breaks'!C79,IF(G26&gt;='Price breaks'!B78,'Price breaks'!C78,IF(G26&gt;='Price breaks'!B77,'Price breaks'!C77,'Price breaks'!C76))))),"")</f>
        <v>3.484</v>
      </c>
      <c r="L26" s="32"/>
      <c r="M26" s="31" t="n">
        <f>IF(D26&lt;&gt;"Yes","",IF(ISNUMBER(L26),L26,IF(ISNUMBER(K26),K26,"")))</f>
        <v>3.484</v>
      </c>
      <c r="N26" s="31" t="n">
        <f>IF(AND(ISNUMBER(G26),ISNUMBER(M26),ISNUMBER($B$7)),G26*M26*(1+$B$7),"")</f>
        <v>45.292</v>
      </c>
      <c r="O26" s="15" t="str">
        <v>Medium - long replenishment</v>
      </c>
      <c r="P26" s="15" t="str">
        <v>Stock listed; 30-week manufacturer lead time warrants advance planning if retained.</v>
      </c>
      <c r="Q26" s="14" t="str">
        <v>Product page</v>
      </c>
      <c r="R26" s="33" t="str">
        <f>IF(AND(ISNUMBER(J26),ISNUMBER($B$7)),IF(J26=0,0,IF(ISNUMBER(L26),J26*L26*(1+$B$7),J26*(IF(J26&gt;='Price breaks'!B80,'Price breaks'!C80,IF(J26&gt;='Price breaks'!B79,'Price breaks'!C79,IF(J26&gt;='Price breaks'!B78,'Price breaks'!C78,IF(J26&gt;='Price breaks'!B77,'Price breaks'!C77,'Price breaks'!C76)))))*(1+$B$7))),"")</f>
      </c>
      <c r="S26" s="15" t="str">
        <v>Supplier snapshot 2026-09-14</v>
      </c>
      <c r="T26" s="15" t="str">
        <v>No forecast; use contingency input</v>
      </c>
    </row>
    <row r="27" ht="48" customHeight="1">
      <c r="A27" s="15" t="str">
        <v>IC10</v>
      </c>
      <c r="B27" s="15" t="str">
        <v>SX1280IMLTRT</v>
      </c>
      <c r="C27" s="2" t="n">
        <v>1</v>
      </c>
      <c r="D27" s="29" t="str">
        <v>Yes</v>
      </c>
      <c r="E27" s="2" t="n">
        <f>IF(D27&lt;&gt;"Yes",0,IF(ISNUMBER($B$4),C27*$B$4,""))</f>
        <v>10</v>
      </c>
      <c r="F27" s="15" t="n">
        <f>IF(AND(ISNUMBER(E27),ISNUMBER($B$5),ISNUMBER($B$6)),IF(E27=0,0,ROUNDUP(E27*$B$5,0)+$B$6),"")</f>
        <v>3</v>
      </c>
      <c r="G27" s="2" t="n">
        <f>IF(AND(ISNUMBER(E27),ISNUMBER(F27)),E27+F27,"")</f>
        <v>13</v>
      </c>
      <c r="H27" s="29"/>
      <c r="I27" s="29"/>
      <c r="J27" s="2" t="str">
        <f>IF(AND(ISNUMBER(H27),ISNUMBER(I27)),MAX(0,G27-H27-I27),"")</f>
      </c>
      <c r="K27" s="31" t="n">
        <f>IF(ISNUMBER(G27),IF(G27=0,0,IF(G27&gt;='Price breaks'!B75,'Price breaks'!C75,IF(G27&gt;='Price breaks'!B74,'Price breaks'!C74,IF(G27&gt;='Price breaks'!B73,'Price breaks'!C73,IF(G27&gt;='Price breaks'!B72,'Price breaks'!C72,IF(G27&gt;='Price breaks'!B71,'Price breaks'!C71,IF(G27&gt;='Price breaks'!B70,'Price breaks'!C70,'Price breaks'!C69))))))),"")</f>
        <v>6.655</v>
      </c>
      <c r="L27" s="32"/>
      <c r="M27" s="31" t="n">
        <f>IF(D27&lt;&gt;"Yes","",IF(ISNUMBER(L27),L27,IF(ISNUMBER(K27),K27,"")))</f>
        <v>6.655</v>
      </c>
      <c r="N27" s="31" t="n">
        <f>IF(AND(ISNUMBER(G27),ISNUMBER(M27),ISNUMBER($B$7)),G27*M27*(1+$B$7),"")</f>
        <v>86.515</v>
      </c>
      <c r="O27" s="15" t="str">
        <v>Routine - stock listed</v>
      </c>
      <c r="P27" s="15" t="str">
        <v>Specialized RF part; buy project batch, no present shortage evidenced at this source.</v>
      </c>
      <c r="Q27" s="14" t="str">
        <v>Product page</v>
      </c>
      <c r="R27" s="33" t="str">
        <f>IF(AND(ISNUMBER(J27),ISNUMBER($B$7)),IF(J27=0,0,IF(ISNUMBER(L27),J27*L27*(1+$B$7),J27*(IF(J27&gt;='Price breaks'!B75,'Price breaks'!C75,IF(J27&gt;='Price breaks'!B74,'Price breaks'!C74,IF(J27&gt;='Price breaks'!B73,'Price breaks'!C73,IF(J27&gt;='Price breaks'!B72,'Price breaks'!C72,IF(J27&gt;='Price breaks'!B71,'Price breaks'!C71,IF(J27&gt;='Price breaks'!B70,'Price breaks'!C70,'Price breaks'!C69)))))))*(1+$B$7))),"")</f>
      </c>
      <c r="S27" s="15" t="str">
        <v>Supplier snapshot 2026-09-14</v>
      </c>
      <c r="T27" s="15" t="str">
        <v>No forecast; use contingency input</v>
      </c>
    </row>
    <row r="28" ht="48" customHeight="1">
      <c r="A28" s="15" t="str">
        <v>IC8, IC9</v>
      </c>
      <c r="B28" s="15" t="str">
        <v>THVD1551DGK</v>
      </c>
      <c r="C28" s="2" t="n">
        <v>2</v>
      </c>
      <c r="D28" s="29" t="str">
        <v>Yes</v>
      </c>
      <c r="E28" s="2" t="n">
        <f>IF(D28&lt;&gt;"Yes",0,IF(ISNUMBER($B$4),C28*$B$4,""))</f>
        <v>20</v>
      </c>
      <c r="F28" s="15" t="n">
        <f>IF(AND(ISNUMBER(E28),ISNUMBER($B$5),ISNUMBER($B$6)),IF(E28=0,0,ROUNDUP(E28*$B$5,0)+$B$6),"")</f>
        <v>4</v>
      </c>
      <c r="G28" s="2" t="n">
        <f>IF(AND(ISNUMBER(E28),ISNUMBER(F28)),E28+F28,"")</f>
        <v>24</v>
      </c>
      <c r="H28" s="29"/>
      <c r="I28" s="29"/>
      <c r="J28" s="2" t="str">
        <f>IF(AND(ISNUMBER(H28),ISNUMBER(I28)),MAX(0,G28-H28-I28),"")</f>
      </c>
      <c r="K28" s="31" t="n">
        <f>IF(ISNUMBER(G28),IF(G28=0,0,IF(G28&gt;='Price breaks'!B121,'Price breaks'!C121,IF(G28&gt;='Price breaks'!B120,'Price breaks'!C120,IF(G28&gt;='Price breaks'!B119,'Price breaks'!C119,IF(G28&gt;='Price breaks'!B118,'Price breaks'!C118,IF(G28&gt;='Price breaks'!B117,'Price breaks'!C117,IF(G28&gt;='Price breaks'!B116,'Price breaks'!C116,'Price breaks'!C115))))))),"")</f>
        <v>2.537</v>
      </c>
      <c r="L28" s="32"/>
      <c r="M28" s="31" t="n">
        <f>IF(D28&lt;&gt;"Yes","",IF(ISNUMBER(L28),L28,IF(ISNUMBER(K28),K28,"")))</f>
        <v>2.537</v>
      </c>
      <c r="N28" s="31" t="n">
        <f>IF(AND(ISNUMBER(G28),ISNUMBER(M28),ISNUMBER($B$7)),G28*M28*(1+$B$7),"")</f>
        <v>60.888</v>
      </c>
      <c r="O28" s="15" t="str">
        <v>Medium - limited channel stock</v>
      </c>
      <c r="P28" s="15" t="str">
        <v>Two per board; tube order code. Confirm feeder/tray or reel alternative suffix.</v>
      </c>
      <c r="Q28" s="14" t="str">
        <v>Product page</v>
      </c>
      <c r="R28" s="33" t="str">
        <f>IF(AND(ISNUMBER(J28),ISNUMBER($B$7)),IF(J28=0,0,IF(ISNUMBER(L28),J28*L28*(1+$B$7),J28*(IF(J28&gt;='Price breaks'!B121,'Price breaks'!C121,IF(J28&gt;='Price breaks'!B120,'Price breaks'!C120,IF(J28&gt;='Price breaks'!B119,'Price breaks'!C119,IF(J28&gt;='Price breaks'!B118,'Price breaks'!C118,IF(J28&gt;='Price breaks'!B117,'Price breaks'!C117,IF(J28&gt;='Price breaks'!B116,'Price breaks'!C116,'Price breaks'!C115)))))))*(1+$B$7))),"")</f>
      </c>
      <c r="S28" s="15" t="str">
        <v>Supplier snapshot 2026-09-14</v>
      </c>
      <c r="T28" s="15" t="str">
        <v>No forecast; use contingency input</v>
      </c>
    </row>
    <row r="29" ht="48" customHeight="1">
      <c r="A29" s="15" t="str">
        <v>U28, U23, U25, U24, U8, U9</v>
      </c>
      <c r="B29" s="15" t="str">
        <v>TXB0104RGYR</v>
      </c>
      <c r="C29" s="2" t="n">
        <v>6</v>
      </c>
      <c r="D29" s="29" t="str">
        <v>Yes</v>
      </c>
      <c r="E29" s="2" t="n">
        <f>IF(D29&lt;&gt;"Yes",0,IF(ISNUMBER($B$4),C29*$B$4,""))</f>
        <v>60</v>
      </c>
      <c r="F29" s="15" t="n">
        <f>IF(AND(ISNUMBER(E29),ISNUMBER($B$5),ISNUMBER($B$6)),IF(E29=0,0,ROUNDUP(E29*$B$5,0)+$B$6),"")</f>
        <v>8</v>
      </c>
      <c r="G29" s="2" t="n">
        <f>IF(AND(ISNUMBER(E29),ISNUMBER(F29)),E29+F29,"")</f>
        <v>68</v>
      </c>
      <c r="H29" s="29"/>
      <c r="I29" s="29"/>
      <c r="J29" s="2" t="str">
        <f>IF(AND(ISNUMBER(H29),ISNUMBER(I29)),MAX(0,G29-H29-I29),"")</f>
      </c>
      <c r="K29" s="31" t="n">
        <f>IF(ISNUMBER(G29),IF(G29=0,0,IF(G29&gt;='Price breaks'!B114,'Price breaks'!C114,IF(G29&gt;='Price breaks'!B113,'Price breaks'!C113,IF(G29&gt;='Price breaks'!B112,'Price breaks'!C112,IF(G29&gt;='Price breaks'!B111,'Price breaks'!C111,IF(G29&gt;='Price breaks'!B110,'Price breaks'!C110,'Price breaks'!C109)))))),"")</f>
        <v>0.7512</v>
      </c>
      <c r="L29" s="32"/>
      <c r="M29" s="31" t="n">
        <f>IF(D29&lt;&gt;"Yes","",IF(ISNUMBER(L29),L29,IF(ISNUMBER(K29),K29,"")))</f>
        <v>0.7512</v>
      </c>
      <c r="N29" s="31" t="n">
        <f>IF(AND(ISNUMBER(G29),ISNUMBER(M29),ISNUMBER($B$7)),G29*M29*(1+$B$7),"")</f>
        <v>51.0816</v>
      </c>
      <c r="O29" s="15" t="str">
        <v>Routine - stock listed</v>
      </c>
      <c r="P29" s="15" t="str">
        <v>Six per reference board; count all six when reserving stock.</v>
      </c>
      <c r="Q29" s="14" t="str">
        <v>Product page</v>
      </c>
      <c r="R29" s="33" t="str">
        <f>IF(AND(ISNUMBER(J29),ISNUMBER($B$7)),IF(J29=0,0,IF(ISNUMBER(L29),J29*L29*(1+$B$7),J29*(IF(J29&gt;='Price breaks'!B114,'Price breaks'!C114,IF(J29&gt;='Price breaks'!B113,'Price breaks'!C113,IF(J29&gt;='Price breaks'!B112,'Price breaks'!C112,IF(J29&gt;='Price breaks'!B111,'Price breaks'!C111,IF(J29&gt;='Price breaks'!B110,'Price breaks'!C110,'Price breaks'!C109))))))*(1+$B$7))),"")</f>
      </c>
      <c r="S29" s="15" t="str">
        <v>Supplier snapshot 2026-09-14</v>
      </c>
      <c r="T29" s="15" t="str">
        <v>No forecast; use contingency input</v>
      </c>
    </row>
    <row r="30" ht="48" customHeight="1">
      <c r="A30" s="15" t="str">
        <v>U5</v>
      </c>
      <c r="B30" s="15" t="str">
        <v>USB5744-I/2G</v>
      </c>
      <c r="C30" s="2" t="n">
        <v>1</v>
      </c>
      <c r="D30" s="29" t="str">
        <v>Yes</v>
      </c>
      <c r="E30" s="2" t="n">
        <f>IF(D30&lt;&gt;"Yes",0,IF(ISNUMBER($B$4),C30*$B$4,""))</f>
        <v>10</v>
      </c>
      <c r="F30" s="15" t="n">
        <f>IF(AND(ISNUMBER(E30),ISNUMBER($B$5),ISNUMBER($B$6)),IF(E30=0,0,ROUNDUP(E30*$B$5,0)+$B$6),"")</f>
        <v>3</v>
      </c>
      <c r="G30" s="2" t="n">
        <f>IF(AND(ISNUMBER(E30),ISNUMBER(F30)),E30+F30,"")</f>
        <v>13</v>
      </c>
      <c r="H30" s="29"/>
      <c r="I30" s="29"/>
      <c r="J30" s="2" t="str">
        <f>IF(AND(ISNUMBER(H30),ISNUMBER(I30)),MAX(0,G30-H30-I30),"")</f>
      </c>
      <c r="K30" s="31" t="n">
        <f>IF(ISNUMBER(G30),IF(G30=0,0,IF(G30&gt;='Price breaks'!B86,'Price breaks'!C86,IF(G30&gt;='Price breaks'!B85,'Price breaks'!C85,'Price breaks'!C84))),"")</f>
        <v>6.54</v>
      </c>
      <c r="L30" s="32"/>
      <c r="M30" s="31" t="n">
        <f>IF(D30&lt;&gt;"Yes","",IF(ISNUMBER(L30),L30,IF(ISNUMBER(K30),K30,"")))</f>
        <v>6.54</v>
      </c>
      <c r="N30" s="31" t="n">
        <f>IF(AND(ISNUMBER(G30),ISNUMBER(M30),ISNUMBER($B$7)),G30*M30*(1+$B$7),"")</f>
        <v>85.02</v>
      </c>
      <c r="O30" s="15" t="str">
        <v>Routine - stock listed</v>
      </c>
      <c r="P30" s="15" t="str">
        <v>Exact /2G code is active; do not confuse with obsolete /2GX01. Tray handling required.</v>
      </c>
      <c r="Q30" s="14" t="str">
        <v>Product page</v>
      </c>
      <c r="R30" s="33" t="str">
        <f>IF(AND(ISNUMBER(J30),ISNUMBER($B$7)),IF(J30=0,0,IF(ISNUMBER(L30),J30*L30*(1+$B$7),J30*(IF(J30&gt;='Price breaks'!B86,'Price breaks'!C86,IF(J30&gt;='Price breaks'!B85,'Price breaks'!C85,'Price breaks'!C84)))*(1+$B$7))),"")</f>
      </c>
      <c r="S30" s="15" t="str">
        <v>Supplier snapshot 2026-09-14</v>
      </c>
      <c r="T30" s="15" t="str">
        <v>No forecast; use contingency input</v>
      </c>
    </row>
    <row r="31" ht="48" customHeight="1">
      <c r="A31" s="15" t="str">
        <v>C171</v>
      </c>
      <c r="B31" s="15" t="str">
        <v>0p3</v>
      </c>
      <c r="C31" s="2" t="n">
        <v>1</v>
      </c>
      <c r="D31" s="29" t="str">
        <v>Yes</v>
      </c>
      <c r="E31" s="2" t="n">
        <f>IF(D31&lt;&gt;"Yes",0,IF(ISNUMBER($B$4),C31*$B$4,""))</f>
        <v>10</v>
      </c>
      <c r="F31" s="15" t="n">
        <f>IF(AND(ISNUMBER(E31),ISNUMBER($B$5),ISNUMBER($B$6)),IF(E31=0,0,ROUNDUP(E31*$B$5,0)+$B$6),"")</f>
        <v>3</v>
      </c>
      <c r="G31" s="2" t="n">
        <f>IF(AND(ISNUMBER(E31),ISNUMBER(F31)),E31+F31,"")</f>
        <v>13</v>
      </c>
      <c r="H31" s="29"/>
      <c r="I31" s="29"/>
      <c r="J31" s="2" t="str">
        <f>IF(AND(ISNUMBER(H31),ISNUMBER(I31)),MAX(0,G31-H31-I31),"")</f>
      </c>
      <c r="K31" s="31" t="str">
        <f>IF(ISNUMBER(G31),IF(G31=0,0,""),"")</f>
      </c>
      <c r="L31" s="32"/>
      <c r="M31" s="31" t="str">
        <f>IF(D31&lt;&gt;"Yes","",IF(ISNUMBER(L31),L31,IF(ISNUMBER(K31),K31,"")))</f>
      </c>
      <c r="N31" s="31" t="str">
        <f>IF(AND(ISNUMBER(G31),ISNUMBER(M31),ISNUMBER($B$7)),G31*M31*(1+$B$7),"")</f>
      </c>
      <c r="O31" s="15" t="str">
        <v>Not assessed</v>
      </c>
      <c r="P31" s="15" t="str">
        <v>Verify exact MPN, ratings, footprint and Rev B retention.</v>
      </c>
      <c r="Q31" s="14" t="str">
        <v>Search (not exact)</v>
      </c>
      <c r="R31" s="33" t="str">
        <f>IF(AND(ISNUMBER(J31),ISNUMBER($B$7)),IF(J31=0,0,IF(ISNUMBER(L31),J31*L31*(1+$B$7),"")),"")</f>
      </c>
      <c r="S31" s="15" t="str">
        <v>No quote / exact selection pending</v>
      </c>
      <c r="T31" s="15" t="str">
        <v>No forecast; use contingency input</v>
      </c>
    </row>
    <row r="32" ht="48" customHeight="1">
      <c r="A32" s="15" t="str">
        <v>C163</v>
      </c>
      <c r="B32" s="15" t="str">
        <v>0p5 Ž +/- .05</v>
      </c>
      <c r="C32" s="2" t="n">
        <v>1</v>
      </c>
      <c r="D32" s="29" t="str">
        <v>Yes</v>
      </c>
      <c r="E32" s="2" t="n">
        <f>IF(D32&lt;&gt;"Yes",0,IF(ISNUMBER($B$4),C32*$B$4,""))</f>
        <v>10</v>
      </c>
      <c r="F32" s="15" t="n">
        <f>IF(AND(ISNUMBER(E32),ISNUMBER($B$5),ISNUMBER($B$6)),IF(E32=0,0,ROUNDUP(E32*$B$5,0)+$B$6),"")</f>
        <v>3</v>
      </c>
      <c r="G32" s="2" t="n">
        <f>IF(AND(ISNUMBER(E32),ISNUMBER(F32)),E32+F32,"")</f>
        <v>13</v>
      </c>
      <c r="H32" s="29"/>
      <c r="I32" s="29"/>
      <c r="J32" s="2" t="str">
        <f>IF(AND(ISNUMBER(H32),ISNUMBER(I32)),MAX(0,G32-H32-I32),"")</f>
      </c>
      <c r="K32" s="31" t="str">
        <f>IF(ISNUMBER(G32),IF(G32=0,0,""),"")</f>
      </c>
      <c r="L32" s="32"/>
      <c r="M32" s="31" t="str">
        <f>IF(D32&lt;&gt;"Yes","",IF(ISNUMBER(L32),L32,IF(ISNUMBER(K32),K32,"")))</f>
      </c>
      <c r="N32" s="31" t="str">
        <f>IF(AND(ISNUMBER(G32),ISNUMBER(M32),ISNUMBER($B$7)),G32*M32*(1+$B$7),"")</f>
      </c>
      <c r="O32" s="15" t="str">
        <v>Not assessed</v>
      </c>
      <c r="P32" s="15" t="str">
        <v>Verify exact MPN, ratings, footprint and Rev B retention.</v>
      </c>
      <c r="Q32" s="14" t="str">
        <v>Search (not exact)</v>
      </c>
      <c r="R32" s="33" t="str">
        <f>IF(AND(ISNUMBER(J32),ISNUMBER($B$7)),IF(J32=0,0,IF(ISNUMBER(L32),J32*L32*(1+$B$7),"")),"")</f>
      </c>
      <c r="S32" s="15" t="str">
        <v>No quote / exact selection pending</v>
      </c>
      <c r="T32" s="15" t="str">
        <v>No forecast; use contingency input</v>
      </c>
    </row>
    <row r="33" ht="48" customHeight="1">
      <c r="A33" s="15" t="str">
        <v>C165</v>
      </c>
      <c r="B33" s="15" t="str">
        <v>0p8 .1%</v>
      </c>
      <c r="C33" s="2" t="n">
        <v>1</v>
      </c>
      <c r="D33" s="29" t="str">
        <v>Yes</v>
      </c>
      <c r="E33" s="2" t="n">
        <f>IF(D33&lt;&gt;"Yes",0,IF(ISNUMBER($B$4),C33*$B$4,""))</f>
        <v>10</v>
      </c>
      <c r="F33" s="15" t="n">
        <f>IF(AND(ISNUMBER(E33),ISNUMBER($B$5),ISNUMBER($B$6)),IF(E33=0,0,ROUNDUP(E33*$B$5,0)+$B$6),"")</f>
        <v>3</v>
      </c>
      <c r="G33" s="2" t="n">
        <f>IF(AND(ISNUMBER(E33),ISNUMBER(F33)),E33+F33,"")</f>
        <v>13</v>
      </c>
      <c r="H33" s="29"/>
      <c r="I33" s="29"/>
      <c r="J33" s="2" t="str">
        <f>IF(AND(ISNUMBER(H33),ISNUMBER(I33)),MAX(0,G33-H33-I33),"")</f>
      </c>
      <c r="K33" s="31" t="str">
        <f>IF(ISNUMBER(G33),IF(G33=0,0,""),"")</f>
      </c>
      <c r="L33" s="32"/>
      <c r="M33" s="31" t="str">
        <f>IF(D33&lt;&gt;"Yes","",IF(ISNUMBER(L33),L33,IF(ISNUMBER(K33),K33,"")))</f>
      </c>
      <c r="N33" s="31" t="str">
        <f>IF(AND(ISNUMBER(G33),ISNUMBER(M33),ISNUMBER($B$7)),G33*M33*(1+$B$7),"")</f>
      </c>
      <c r="O33" s="15" t="str">
        <v>Not assessed</v>
      </c>
      <c r="P33" s="15" t="str">
        <v>Verify exact MPN, ratings, footprint and Rev B retention.</v>
      </c>
      <c r="Q33" s="14" t="str">
        <v>Search (not exact)</v>
      </c>
      <c r="R33" s="33" t="str">
        <f>IF(AND(ISNUMBER(J33),ISNUMBER($B$7)),IF(J33=0,0,IF(ISNUMBER(L33),J33*L33*(1+$B$7),"")),"")</f>
      </c>
      <c r="S33" s="15" t="str">
        <v>No quote / exact selection pending</v>
      </c>
      <c r="T33" s="15" t="str">
        <v>No forecast; use contingency input</v>
      </c>
    </row>
    <row r="34" ht="48" customHeight="1">
      <c r="A34" s="15" t="str">
        <v>J18, J19, J20, J21</v>
      </c>
      <c r="B34" s="15" t="str">
        <v>1-1734248-5</v>
      </c>
      <c r="C34" s="2" t="n">
        <v>4</v>
      </c>
      <c r="D34" s="29" t="str">
        <v>Yes</v>
      </c>
      <c r="E34" s="2" t="n">
        <f>IF(D34&lt;&gt;"Yes",0,IF(ISNUMBER($B$4),C34*$B$4,""))</f>
        <v>40</v>
      </c>
      <c r="F34" s="15" t="n">
        <f>IF(AND(ISNUMBER(E34),ISNUMBER($B$5),ISNUMBER($B$6)),IF(E34=0,0,ROUNDUP(E34*$B$5,0)+$B$6),"")</f>
        <v>6</v>
      </c>
      <c r="G34" s="2" t="n">
        <f>IF(AND(ISNUMBER(E34),ISNUMBER(F34)),E34+F34,"")</f>
        <v>46</v>
      </c>
      <c r="H34" s="29"/>
      <c r="I34" s="29"/>
      <c r="J34" s="2" t="str">
        <f>IF(AND(ISNUMBER(H34),ISNUMBER(I34)),MAX(0,G34-H34-I34),"")</f>
      </c>
      <c r="K34" s="31" t="str">
        <f>IF(ISNUMBER(G34),IF(G34=0,0,""),"")</f>
      </c>
      <c r="L34" s="32"/>
      <c r="M34" s="31" t="str">
        <f>IF(D34&lt;&gt;"Yes","",IF(ISNUMBER(L34),L34,IF(ISNUMBER(K34),K34,"")))</f>
      </c>
      <c r="N34" s="31" t="str">
        <f>IF(AND(ISNUMBER(G34),ISNUMBER(M34),ISNUMBER($B$7)),G34*M34*(1+$B$7),"")</f>
      </c>
      <c r="O34" s="15" t="str">
        <v>Not assessed</v>
      </c>
      <c r="P34" s="15" t="str">
        <v>Verify exact MPN, ratings, footprint and Rev B retention.</v>
      </c>
      <c r="Q34" s="14" t="str">
        <v>Search (not exact)</v>
      </c>
      <c r="R34" s="33" t="str">
        <f>IF(AND(ISNUMBER(J34),ISNUMBER($B$7)),IF(J34=0,0,IF(ISNUMBER(L34),J34*L34*(1+$B$7),"")),"")</f>
      </c>
      <c r="S34" s="15" t="str">
        <v>No quote / exact selection pending</v>
      </c>
      <c r="T34" s="15" t="str">
        <v>No forecast; use contingency input</v>
      </c>
    </row>
    <row r="35" ht="48" customHeight="1">
      <c r="A35" s="15" t="str">
        <v>J2</v>
      </c>
      <c r="B35" s="15" t="str">
        <v>1-2199230-5</v>
      </c>
      <c r="C35" s="2" t="n">
        <v>1</v>
      </c>
      <c r="D35" s="29" t="str">
        <v>Yes</v>
      </c>
      <c r="E35" s="2" t="n">
        <f>IF(D35&lt;&gt;"Yes",0,IF(ISNUMBER($B$4),C35*$B$4,""))</f>
        <v>10</v>
      </c>
      <c r="F35" s="15" t="n">
        <f>IF(AND(ISNUMBER(E35),ISNUMBER($B$5),ISNUMBER($B$6)),IF(E35=0,0,ROUNDUP(E35*$B$5,0)+$B$6),"")</f>
        <v>3</v>
      </c>
      <c r="G35" s="2" t="n">
        <f>IF(AND(ISNUMBER(E35),ISNUMBER(F35)),E35+F35,"")</f>
        <v>13</v>
      </c>
      <c r="H35" s="29"/>
      <c r="I35" s="29"/>
      <c r="J35" s="2" t="str">
        <f>IF(AND(ISNUMBER(H35),ISNUMBER(I35)),MAX(0,G35-H35-I35),"")</f>
      </c>
      <c r="K35" s="31" t="str">
        <f>IF(ISNUMBER(G35),IF(G35=0,0,""),"")</f>
      </c>
      <c r="L35" s="32"/>
      <c r="M35" s="31" t="str">
        <f>IF(D35&lt;&gt;"Yes","",IF(ISNUMBER(L35),L35,IF(ISNUMBER(K35),K35,"")))</f>
      </c>
      <c r="N35" s="31" t="str">
        <f>IF(AND(ISNUMBER(G35),ISNUMBER(M35),ISNUMBER($B$7)),G35*M35*(1+$B$7),"")</f>
      </c>
      <c r="O35" s="15" t="str">
        <v>Not assessed</v>
      </c>
      <c r="P35" s="15" t="str">
        <v>Verify exact MPN, ratings, footprint and Rev B retention.</v>
      </c>
      <c r="Q35" s="14" t="str">
        <v>Search (not exact)</v>
      </c>
      <c r="R35" s="33" t="str">
        <f>IF(AND(ISNUMBER(J35),ISNUMBER($B$7)),IF(J35=0,0,IF(ISNUMBER(L35),J35*L35*(1+$B$7),"")),"")</f>
      </c>
      <c r="S35" s="15" t="str">
        <v>No quote / exact selection pending</v>
      </c>
      <c r="T35" s="15" t="str">
        <v>No forecast; use contingency input</v>
      </c>
    </row>
    <row r="36" ht="48" customHeight="1">
      <c r="A36" s="15" t="str">
        <v>R1, R5</v>
      </c>
      <c r="B36" s="15" t="str">
        <v>10</v>
      </c>
      <c r="C36" s="2" t="n">
        <v>2</v>
      </c>
      <c r="D36" s="29" t="str">
        <v>Yes</v>
      </c>
      <c r="E36" s="2" t="n">
        <f>IF(D36&lt;&gt;"Yes",0,IF(ISNUMBER($B$4),C36*$B$4,""))</f>
        <v>20</v>
      </c>
      <c r="F36" s="15" t="n">
        <f>IF(AND(ISNUMBER(E36),ISNUMBER($B$5),ISNUMBER($B$6)),IF(E36=0,0,ROUNDUP(E36*$B$5,0)+$B$6),"")</f>
        <v>4</v>
      </c>
      <c r="G36" s="2" t="n">
        <f>IF(AND(ISNUMBER(E36),ISNUMBER(F36)),E36+F36,"")</f>
        <v>24</v>
      </c>
      <c r="H36" s="29"/>
      <c r="I36" s="29"/>
      <c r="J36" s="2" t="str">
        <f>IF(AND(ISNUMBER(H36),ISNUMBER(I36)),MAX(0,G36-H36-I36),"")</f>
      </c>
      <c r="K36" s="31" t="str">
        <f>IF(ISNUMBER(G36),IF(G36=0,0,""),"")</f>
      </c>
      <c r="L36" s="32"/>
      <c r="M36" s="31" t="str">
        <f>IF(D36&lt;&gt;"Yes","",IF(ISNUMBER(L36),L36,IF(ISNUMBER(K36),K36,"")))</f>
      </c>
      <c r="N36" s="31" t="str">
        <f>IF(AND(ISNUMBER(G36),ISNUMBER(M36),ISNUMBER($B$7)),G36*M36*(1+$B$7),"")</f>
      </c>
      <c r="O36" s="15" t="str">
        <v>Not assessed</v>
      </c>
      <c r="P36" s="15" t="str">
        <v>Old power architecture: Rev B replacement planned; do not bulk-buy on these counts.</v>
      </c>
      <c r="Q36" s="14" t="str">
        <v>Search (not exact)</v>
      </c>
      <c r="R36" s="33" t="str">
        <f>IF(AND(ISNUMBER(J36),ISNUMBER($B$7)),IF(J36=0,0,IF(ISNUMBER(L36),J36*L36*(1+$B$7),"")),"")</f>
      </c>
      <c r="S36" s="15" t="str">
        <v>No quote / exact selection pending</v>
      </c>
      <c r="T36" s="15" t="str">
        <v>No forecast; use contingency input</v>
      </c>
    </row>
    <row r="37" ht="48" customHeight="1">
      <c r="A37" s="15" t="str">
        <v>R45, R47, R48, R49</v>
      </c>
      <c r="B37" s="15" t="str">
        <v>100</v>
      </c>
      <c r="C37" s="2" t="n">
        <v>4</v>
      </c>
      <c r="D37" s="29" t="str">
        <v>Yes</v>
      </c>
      <c r="E37" s="2" t="n">
        <f>IF(D37&lt;&gt;"Yes",0,IF(ISNUMBER($B$4),C37*$B$4,""))</f>
        <v>40</v>
      </c>
      <c r="F37" s="15" t="n">
        <f>IF(AND(ISNUMBER(E37),ISNUMBER($B$5),ISNUMBER($B$6)),IF(E37=0,0,ROUNDUP(E37*$B$5,0)+$B$6),"")</f>
        <v>6</v>
      </c>
      <c r="G37" s="2" t="n">
        <f>IF(AND(ISNUMBER(E37),ISNUMBER(F37)),E37+F37,"")</f>
        <v>46</v>
      </c>
      <c r="H37" s="29"/>
      <c r="I37" s="29"/>
      <c r="J37" s="2" t="str">
        <f>IF(AND(ISNUMBER(H37),ISNUMBER(I37)),MAX(0,G37-H37-I37),"")</f>
      </c>
      <c r="K37" s="31" t="str">
        <f>IF(ISNUMBER(G37),IF(G37=0,0,""),"")</f>
      </c>
      <c r="L37" s="32"/>
      <c r="M37" s="31" t="str">
        <f>IF(D37&lt;&gt;"Yes","",IF(ISNUMBER(L37),L37,IF(ISNUMBER(K37),K37,"")))</f>
      </c>
      <c r="N37" s="31" t="str">
        <f>IF(AND(ISNUMBER(G37),ISNUMBER(M37),ISNUMBER($B$7)),G37*M37*(1+$B$7),"")</f>
      </c>
      <c r="O37" s="15" t="str">
        <v>Not assessed</v>
      </c>
      <c r="P37" s="15" t="str">
        <v>Verify exact MPN, ratings, footprint and Rev B retention.</v>
      </c>
      <c r="Q37" s="14" t="str">
        <v>Search (not exact)</v>
      </c>
      <c r="R37" s="33" t="str">
        <f>IF(AND(ISNUMBER(J37),ISNUMBER($B$7)),IF(J37=0,0,IF(ISNUMBER(L37),J37*L37*(1+$B$7),"")),"")</f>
      </c>
      <c r="S37" s="15" t="str">
        <v>No quote / exact selection pending</v>
      </c>
      <c r="T37" s="15" t="str">
        <v>No forecast; use contingency input</v>
      </c>
    </row>
    <row r="38" ht="48" customHeight="1">
      <c r="A38" s="15" t="str">
        <v>R80, R39, R38, R37, R15</v>
      </c>
      <c r="B38" s="15" t="str">
        <v>100k</v>
      </c>
      <c r="C38" s="2" t="n">
        <v>5</v>
      </c>
      <c r="D38" s="29" t="str">
        <v>Yes</v>
      </c>
      <c r="E38" s="2" t="n">
        <f>IF(D38&lt;&gt;"Yes",0,IF(ISNUMBER($B$4),C38*$B$4,""))</f>
        <v>50</v>
      </c>
      <c r="F38" s="15" t="n">
        <f>IF(AND(ISNUMBER(E38),ISNUMBER($B$5),ISNUMBER($B$6)),IF(E38=0,0,ROUNDUP(E38*$B$5,0)+$B$6),"")</f>
        <v>7</v>
      </c>
      <c r="G38" s="2" t="n">
        <f>IF(AND(ISNUMBER(E38),ISNUMBER(F38)),E38+F38,"")</f>
        <v>57</v>
      </c>
      <c r="H38" s="29"/>
      <c r="I38" s="29"/>
      <c r="J38" s="2" t="str">
        <f>IF(AND(ISNUMBER(H38),ISNUMBER(I38)),MAX(0,G38-H38-I38),"")</f>
      </c>
      <c r="K38" s="31" t="str">
        <f>IF(ISNUMBER(G38),IF(G38=0,0,""),"")</f>
      </c>
      <c r="L38" s="32"/>
      <c r="M38" s="31" t="str">
        <f>IF(D38&lt;&gt;"Yes","",IF(ISNUMBER(L38),L38,IF(ISNUMBER(K38),K38,"")))</f>
      </c>
      <c r="N38" s="31" t="str">
        <f>IF(AND(ISNUMBER(G38),ISNUMBER(M38),ISNUMBER($B$7)),G38*M38*(1+$B$7),"")</f>
      </c>
      <c r="O38" s="15" t="str">
        <v>Not assessed</v>
      </c>
      <c r="P38" s="15" t="str">
        <v>Old power architecture: Rev B replacement planned; do not bulk-buy on these counts.</v>
      </c>
      <c r="Q38" s="14" t="str">
        <v>Search (not exact)</v>
      </c>
      <c r="R38" s="33" t="str">
        <f>IF(AND(ISNUMBER(J38),ISNUMBER($B$7)),IF(J38=0,0,IF(ISNUMBER(L38),J38*L38*(1+$B$7),"")),"")</f>
      </c>
      <c r="S38" s="15" t="str">
        <v>No quote / exact selection pending</v>
      </c>
      <c r="T38" s="15" t="str">
        <v>No forecast; use contingency input</v>
      </c>
    </row>
    <row r="39" ht="48" customHeight="1">
      <c r="A39" s="15" t="str">
        <v>C235, C236, C131, C126, C127, C128, C129, C125, C120, C121, C122, C123, C98, C95, C100, C101, C102, C103, C104, C105, C106, C107, C108, C109, C110, C111, C112, C113, C114, C115, C119, C118, C221, C218, C220, C229, C231, C224, C226, C227, C232, C234, C211, C212, C239, C216, C217, C215, C213, C214, C89, C90, C91, C92, C93, C135, C136, C132, C133, C41, C42, C43, C44, C51, C52, C53, C54, C55, C56, C58, C59, C60, C61, C62, C63, C64, C65, C45, C46, C47, C48, C237, C238, C153, C154, C155, C156, C157, C158, C150, C159, C162, C210, C1, C13, C15, C27, C178, C186, C185, C187, C191, C190, C192, C189, C188, C195, C200, C203, C207, C208, C209, C197, C198, C170, C174, C80, C83, C68, C84, C85, C86, C87, C76, C77, C78, C79, C72, C73, C74, C75, C88, C66, C67</v>
      </c>
      <c r="B39" s="15" t="str">
        <v>100n</v>
      </c>
      <c r="C39" s="2" t="n">
        <v>134</v>
      </c>
      <c r="D39" s="29" t="str">
        <v>Yes</v>
      </c>
      <c r="E39" s="2" t="n">
        <f>IF(D39&lt;&gt;"Yes",0,IF(ISNUMBER($B$4),C39*$B$4,""))</f>
        <v>1340</v>
      </c>
      <c r="F39" s="15" t="n">
        <f>IF(AND(ISNUMBER(E39),ISNUMBER($B$5),ISNUMBER($B$6)),IF(E39=0,0,ROUNDUP(E39*$B$5,0)+$B$6),"")</f>
        <v>136</v>
      </c>
      <c r="G39" s="2" t="n">
        <f>IF(AND(ISNUMBER(E39),ISNUMBER(F39)),E39+F39,"")</f>
        <v>1476</v>
      </c>
      <c r="H39" s="29"/>
      <c r="I39" s="29"/>
      <c r="J39" s="2" t="str">
        <f>IF(AND(ISNUMBER(H39),ISNUMBER(I39)),MAX(0,G39-H39-I39),"")</f>
      </c>
      <c r="K39" s="31" t="str">
        <f>IF(ISNUMBER(G39),IF(G39=0,0,""),"")</f>
      </c>
      <c r="L39" s="32"/>
      <c r="M39" s="31" t="str">
        <f>IF(D39&lt;&gt;"Yes","",IF(ISNUMBER(L39),L39,IF(ISNUMBER(K39),K39,"")))</f>
      </c>
      <c r="N39" s="31" t="str">
        <f>IF(AND(ISNUMBER(G39),ISNUMBER(M39),ISNUMBER($B$7)),G39*M39*(1+$B$7),"")</f>
      </c>
      <c r="O39" s="15" t="str">
        <v>Not assessed</v>
      </c>
      <c r="P39" s="15" t="str">
        <v>Old power architecture: Rev B replacement planned; do not bulk-buy on these counts.</v>
      </c>
      <c r="Q39" s="14" t="str">
        <v>Search (not exact)</v>
      </c>
      <c r="R39" s="33" t="str">
        <f>IF(AND(ISNUMBER(J39),ISNUMBER($B$7)),IF(J39=0,0,IF(ISNUMBER(L39),J39*L39*(1+$B$7),"")),"")</f>
      </c>
      <c r="S39" s="15" t="str">
        <v>No quote / exact selection pending</v>
      </c>
      <c r="T39" s="15" t="str">
        <v>No forecast; use contingency input</v>
      </c>
    </row>
    <row r="40" ht="48" customHeight="1">
      <c r="A40" s="15" t="str">
        <v>C164</v>
      </c>
      <c r="B40" s="15" t="str">
        <v>100p</v>
      </c>
      <c r="C40" s="2" t="n">
        <v>1</v>
      </c>
      <c r="D40" s="29" t="str">
        <v>Yes</v>
      </c>
      <c r="E40" s="2" t="n">
        <f>IF(D40&lt;&gt;"Yes",0,IF(ISNUMBER($B$4),C40*$B$4,""))</f>
        <v>10</v>
      </c>
      <c r="F40" s="15" t="n">
        <f>IF(AND(ISNUMBER(E40),ISNUMBER($B$5),ISNUMBER($B$6)),IF(E40=0,0,ROUNDUP(E40*$B$5,0)+$B$6),"")</f>
        <v>3</v>
      </c>
      <c r="G40" s="2" t="n">
        <f>IF(AND(ISNUMBER(E40),ISNUMBER(F40)),E40+F40,"")</f>
        <v>13</v>
      </c>
      <c r="H40" s="29"/>
      <c r="I40" s="29"/>
      <c r="J40" s="2" t="str">
        <f>IF(AND(ISNUMBER(H40),ISNUMBER(I40)),MAX(0,G40-H40-I40),"")</f>
      </c>
      <c r="K40" s="31" t="str">
        <f>IF(ISNUMBER(G40),IF(G40=0,0,""),"")</f>
      </c>
      <c r="L40" s="32"/>
      <c r="M40" s="31" t="str">
        <f>IF(D40&lt;&gt;"Yes","",IF(ISNUMBER(L40),L40,IF(ISNUMBER(K40),K40,"")))</f>
      </c>
      <c r="N40" s="31" t="str">
        <f>IF(AND(ISNUMBER(G40),ISNUMBER(M40),ISNUMBER($B$7)),G40*M40*(1+$B$7),"")</f>
      </c>
      <c r="O40" s="15" t="str">
        <v>Not assessed</v>
      </c>
      <c r="P40" s="15" t="str">
        <v>Verify exact MPN, ratings, footprint and Rev B retention.</v>
      </c>
      <c r="Q40" s="14" t="str">
        <v>Search (not exact)</v>
      </c>
      <c r="R40" s="33" t="str">
        <f>IF(AND(ISNUMBER(J40),ISNUMBER($B$7)),IF(J40=0,0,IF(ISNUMBER(L40),J40*L40*(1+$B$7),"")),"")</f>
      </c>
      <c r="S40" s="15" t="str">
        <v>No quote / exact selection pending</v>
      </c>
      <c r="T40" s="15" t="str">
        <v>No forecast; use contingency input</v>
      </c>
    </row>
    <row r="41" ht="48" customHeight="1">
      <c r="A41" s="15" t="str">
        <v>C139, C6, C20</v>
      </c>
      <c r="B41" s="15" t="str">
        <v>100u</v>
      </c>
      <c r="C41" s="2" t="n">
        <v>3</v>
      </c>
      <c r="D41" s="29" t="str">
        <v>Yes</v>
      </c>
      <c r="E41" s="2" t="n">
        <f>IF(D41&lt;&gt;"Yes",0,IF(ISNUMBER($B$4),C41*$B$4,""))</f>
        <v>30</v>
      </c>
      <c r="F41" s="15" t="n">
        <f>IF(AND(ISNUMBER(E41),ISNUMBER($B$5),ISNUMBER($B$6)),IF(E41=0,0,ROUNDUP(E41*$B$5,0)+$B$6),"")</f>
        <v>5</v>
      </c>
      <c r="G41" s="2" t="n">
        <f>IF(AND(ISNUMBER(E41),ISNUMBER(F41)),E41+F41,"")</f>
        <v>35</v>
      </c>
      <c r="H41" s="29"/>
      <c r="I41" s="29"/>
      <c r="J41" s="2" t="str">
        <f>IF(AND(ISNUMBER(H41),ISNUMBER(I41)),MAX(0,G41-H41-I41),"")</f>
      </c>
      <c r="K41" s="31" t="str">
        <f>IF(ISNUMBER(G41),IF(G41=0,0,""),"")</f>
      </c>
      <c r="L41" s="32"/>
      <c r="M41" s="31" t="str">
        <f>IF(D41&lt;&gt;"Yes","",IF(ISNUMBER(L41),L41,IF(ISNUMBER(K41),K41,"")))</f>
      </c>
      <c r="N41" s="31" t="str">
        <f>IF(AND(ISNUMBER(G41),ISNUMBER(M41),ISNUMBER($B$7)),G41*M41*(1+$B$7),"")</f>
      </c>
      <c r="O41" s="15" t="str">
        <v>Not assessed</v>
      </c>
      <c r="P41" s="15" t="str">
        <v>Old power architecture: Rev B replacement planned; do not bulk-buy on these counts.</v>
      </c>
      <c r="Q41" s="14" t="str">
        <v>Search (not exact)</v>
      </c>
      <c r="R41" s="33" t="str">
        <f>IF(AND(ISNUMBER(J41),ISNUMBER($B$7)),IF(J41=0,0,IF(ISNUMBER(L41),J41*L41*(1+$B$7),"")),"")</f>
      </c>
      <c r="S41" s="15" t="str">
        <v>No quote / exact selection pending</v>
      </c>
      <c r="T41" s="15" t="str">
        <v>No forecast; use contingency input</v>
      </c>
    </row>
    <row r="42" ht="48" customHeight="1">
      <c r="A42" s="15" t="str">
        <v>J3</v>
      </c>
      <c r="B42" s="15" t="str">
        <v>1054500101</v>
      </c>
      <c r="C42" s="2" t="n">
        <v>1</v>
      </c>
      <c r="D42" s="29" t="str">
        <v>Yes</v>
      </c>
      <c r="E42" s="2" t="n">
        <f>IF(D42&lt;&gt;"Yes",0,IF(ISNUMBER($B$4),C42*$B$4,""))</f>
        <v>10</v>
      </c>
      <c r="F42" s="15" t="n">
        <f>IF(AND(ISNUMBER(E42),ISNUMBER($B$5),ISNUMBER($B$6)),IF(E42=0,0,ROUNDUP(E42*$B$5,0)+$B$6),"")</f>
        <v>3</v>
      </c>
      <c r="G42" s="2" t="n">
        <f>IF(AND(ISNUMBER(E42),ISNUMBER(F42)),E42+F42,"")</f>
        <v>13</v>
      </c>
      <c r="H42" s="29"/>
      <c r="I42" s="29"/>
      <c r="J42" s="2" t="str">
        <f>IF(AND(ISNUMBER(H42),ISNUMBER(I42)),MAX(0,G42-H42-I42),"")</f>
      </c>
      <c r="K42" s="31" t="str">
        <f>IF(ISNUMBER(G42),IF(G42=0,0,""),"")</f>
      </c>
      <c r="L42" s="32"/>
      <c r="M42" s="31" t="str">
        <f>IF(D42&lt;&gt;"Yes","",IF(ISNUMBER(L42),L42,IF(ISNUMBER(K42),K42,"")))</f>
      </c>
      <c r="N42" s="31" t="str">
        <f>IF(AND(ISNUMBER(G42),ISNUMBER(M42),ISNUMBER($B$7)),G42*M42*(1+$B$7),"")</f>
      </c>
      <c r="O42" s="15" t="str">
        <v>Not assessed</v>
      </c>
      <c r="P42" s="15" t="str">
        <v>Verify exact MPN, ratings, footprint and Rev B retention.</v>
      </c>
      <c r="Q42" s="14" t="str">
        <v>Search (not exact)</v>
      </c>
      <c r="R42" s="33" t="str">
        <f>IF(AND(ISNUMBER(J42),ISNUMBER($B$7)),IF(J42=0,0,IF(ISNUMBER(L42),J42*L42*(1+$B$7),"")),"")</f>
      </c>
      <c r="S42" s="15" t="str">
        <v>No quote / exact selection pending</v>
      </c>
      <c r="T42" s="15" t="str">
        <v>No forecast; use contingency input</v>
      </c>
    </row>
    <row r="43" ht="48" customHeight="1">
      <c r="A43" s="15" t="str">
        <v>R27, R81, R26, R40, R79, R36, R41, R14, R51, R50, R20, R21, R23, R24, R25</v>
      </c>
      <c r="B43" s="15" t="str">
        <v>10k</v>
      </c>
      <c r="C43" s="2" t="n">
        <v>15</v>
      </c>
      <c r="D43" s="29" t="str">
        <v>Yes</v>
      </c>
      <c r="E43" s="2" t="n">
        <f>IF(D43&lt;&gt;"Yes",0,IF(ISNUMBER($B$4),C43*$B$4,""))</f>
        <v>150</v>
      </c>
      <c r="F43" s="15" t="n">
        <f>IF(AND(ISNUMBER(E43),ISNUMBER($B$5),ISNUMBER($B$6)),IF(E43=0,0,ROUNDUP(E43*$B$5,0)+$B$6),"")</f>
        <v>17</v>
      </c>
      <c r="G43" s="2" t="n">
        <f>IF(AND(ISNUMBER(E43),ISNUMBER(F43)),E43+F43,"")</f>
        <v>167</v>
      </c>
      <c r="H43" s="29"/>
      <c r="I43" s="29"/>
      <c r="J43" s="2" t="str">
        <f>IF(AND(ISNUMBER(H43),ISNUMBER(I43)),MAX(0,G43-H43-I43),"")</f>
      </c>
      <c r="K43" s="31" t="str">
        <f>IF(ISNUMBER(G43),IF(G43=0,0,""),"")</f>
      </c>
      <c r="L43" s="32"/>
      <c r="M43" s="31" t="str">
        <f>IF(D43&lt;&gt;"Yes","",IF(ISNUMBER(L43),L43,IF(ISNUMBER(K43),K43,"")))</f>
      </c>
      <c r="N43" s="31" t="str">
        <f>IF(AND(ISNUMBER(G43),ISNUMBER(M43),ISNUMBER($B$7)),G43*M43*(1+$B$7),"")</f>
      </c>
      <c r="O43" s="15" t="str">
        <v>Not assessed</v>
      </c>
      <c r="P43" s="15" t="str">
        <v>Old power architecture: Rev B replacement planned; do not bulk-buy on these counts.</v>
      </c>
      <c r="Q43" s="14" t="str">
        <v>Search (not exact)</v>
      </c>
      <c r="R43" s="33" t="str">
        <f>IF(AND(ISNUMBER(J43),ISNUMBER($B$7)),IF(J43=0,0,IF(ISNUMBER(L43),J43*L43*(1+$B$7),"")),"")</f>
      </c>
      <c r="S43" s="15" t="str">
        <v>No quote / exact selection pending</v>
      </c>
      <c r="T43" s="15" t="str">
        <v>No forecast; use contingency input</v>
      </c>
    </row>
    <row r="44" ht="48" customHeight="1">
      <c r="A44" s="15" t="str">
        <v>C130, C124, C223, C173, C169</v>
      </c>
      <c r="B44" s="15" t="str">
        <v>10n</v>
      </c>
      <c r="C44" s="2" t="n">
        <v>5</v>
      </c>
      <c r="D44" s="29" t="str">
        <v>Yes</v>
      </c>
      <c r="E44" s="2" t="n">
        <f>IF(D44&lt;&gt;"Yes",0,IF(ISNUMBER($B$4),C44*$B$4,""))</f>
        <v>50</v>
      </c>
      <c r="F44" s="15" t="n">
        <f>IF(AND(ISNUMBER(E44),ISNUMBER($B$5),ISNUMBER($B$6)),IF(E44=0,0,ROUNDUP(E44*$B$5,0)+$B$6),"")</f>
        <v>7</v>
      </c>
      <c r="G44" s="2" t="n">
        <f>IF(AND(ISNUMBER(E44),ISNUMBER(F44)),E44+F44,"")</f>
        <v>57</v>
      </c>
      <c r="H44" s="29"/>
      <c r="I44" s="29"/>
      <c r="J44" s="2" t="str">
        <f>IF(AND(ISNUMBER(H44),ISNUMBER(I44)),MAX(0,G44-H44-I44),"")</f>
      </c>
      <c r="K44" s="31" t="str">
        <f>IF(ISNUMBER(G44),IF(G44=0,0,""),"")</f>
      </c>
      <c r="L44" s="32"/>
      <c r="M44" s="31" t="str">
        <f>IF(D44&lt;&gt;"Yes","",IF(ISNUMBER(L44),L44,IF(ISNUMBER(K44),K44,"")))</f>
      </c>
      <c r="N44" s="31" t="str">
        <f>IF(AND(ISNUMBER(G44),ISNUMBER(M44),ISNUMBER($B$7)),G44*M44*(1+$B$7),"")</f>
      </c>
      <c r="O44" s="15" t="str">
        <v>Not assessed</v>
      </c>
      <c r="P44" s="15" t="str">
        <v>Verify exact MPN, ratings, footprint and Rev B retention.</v>
      </c>
      <c r="Q44" s="14" t="str">
        <v>Search (not exact)</v>
      </c>
      <c r="R44" s="33" t="str">
        <f>IF(AND(ISNUMBER(J44),ISNUMBER($B$7)),IF(J44=0,0,IF(ISNUMBER(L44),J44*L44*(1+$B$7),"")),"")</f>
      </c>
      <c r="S44" s="15" t="str">
        <v>No quote / exact selection pending</v>
      </c>
      <c r="T44" s="15" t="str">
        <v>No forecast; use contingency input</v>
      </c>
    </row>
    <row r="45" ht="48" customHeight="1">
      <c r="A45" s="15" t="str">
        <v>C116, C117, C183, C184, C201, C204, C175, C176</v>
      </c>
      <c r="B45" s="15" t="str">
        <v>10p</v>
      </c>
      <c r="C45" s="2" t="n">
        <v>8</v>
      </c>
      <c r="D45" s="29" t="str">
        <v>Yes</v>
      </c>
      <c r="E45" s="2" t="n">
        <f>IF(D45&lt;&gt;"Yes",0,IF(ISNUMBER($B$4),C45*$B$4,""))</f>
        <v>80</v>
      </c>
      <c r="F45" s="15" t="n">
        <f>IF(AND(ISNUMBER(E45),ISNUMBER($B$5),ISNUMBER($B$6)),IF(E45=0,0,ROUNDUP(E45*$B$5,0)+$B$6),"")</f>
        <v>10</v>
      </c>
      <c r="G45" s="2" t="n">
        <f>IF(AND(ISNUMBER(E45),ISNUMBER(F45)),E45+F45,"")</f>
        <v>90</v>
      </c>
      <c r="H45" s="29"/>
      <c r="I45" s="29"/>
      <c r="J45" s="2" t="str">
        <f>IF(AND(ISNUMBER(H45),ISNUMBER(I45)),MAX(0,G45-H45-I45),"")</f>
      </c>
      <c r="K45" s="31" t="str">
        <f>IF(ISNUMBER(G45),IF(G45=0,0,""),"")</f>
      </c>
      <c r="L45" s="32"/>
      <c r="M45" s="31" t="str">
        <f>IF(D45&lt;&gt;"Yes","",IF(ISNUMBER(L45),L45,IF(ISNUMBER(K45),K45,"")))</f>
      </c>
      <c r="N45" s="31" t="str">
        <f>IF(AND(ISNUMBER(G45),ISNUMBER(M45),ISNUMBER($B$7)),G45*M45*(1+$B$7),"")</f>
      </c>
      <c r="O45" s="15" t="str">
        <v>Not assessed</v>
      </c>
      <c r="P45" s="15" t="str">
        <v>Verify exact MPN, ratings, footprint and Rev B retention.</v>
      </c>
      <c r="Q45" s="14" t="str">
        <v>Search (not exact)</v>
      </c>
      <c r="R45" s="33" t="str">
        <f>IF(AND(ISNUMBER(J45),ISNUMBER($B$7)),IF(J45=0,0,IF(ISNUMBER(L45),J45*L45*(1+$B$7),"")),"")</f>
      </c>
      <c r="S45" s="15" t="str">
        <v>No quote / exact selection pending</v>
      </c>
      <c r="T45" s="15" t="str">
        <v>No forecast; use contingency input</v>
      </c>
    </row>
    <row r="46" ht="48" customHeight="1">
      <c r="A46" s="15" t="str">
        <v>C94, C7, C8, C9, C10, C11, C12, C2, C3, C4, C5, C21, C22, C23, C24, C25, C26, C16, C17, C18, C19, C82</v>
      </c>
      <c r="B46" s="15" t="str">
        <v>10u</v>
      </c>
      <c r="C46" s="2" t="n">
        <v>22</v>
      </c>
      <c r="D46" s="29" t="str">
        <v>Yes</v>
      </c>
      <c r="E46" s="2" t="n">
        <f>IF(D46&lt;&gt;"Yes",0,IF(ISNUMBER($B$4),C46*$B$4,""))</f>
        <v>220</v>
      </c>
      <c r="F46" s="15" t="n">
        <f>IF(AND(ISNUMBER(E46),ISNUMBER($B$5),ISNUMBER($B$6)),IF(E46=0,0,ROUNDUP(E46*$B$5,0)+$B$6),"")</f>
        <v>24</v>
      </c>
      <c r="G46" s="2" t="n">
        <f>IF(AND(ISNUMBER(E46),ISNUMBER(F46)),E46+F46,"")</f>
        <v>244</v>
      </c>
      <c r="H46" s="29"/>
      <c r="I46" s="29"/>
      <c r="J46" s="2" t="str">
        <f>IF(AND(ISNUMBER(H46),ISNUMBER(I46)),MAX(0,G46-H46-I46),"")</f>
      </c>
      <c r="K46" s="31" t="str">
        <f>IF(ISNUMBER(G46),IF(G46=0,0,""),"")</f>
      </c>
      <c r="L46" s="32"/>
      <c r="M46" s="31" t="str">
        <f>IF(D46&lt;&gt;"Yes","",IF(ISNUMBER(L46),L46,IF(ISNUMBER(K46),K46,"")))</f>
      </c>
      <c r="N46" s="31" t="str">
        <f>IF(AND(ISNUMBER(G46),ISNUMBER(M46),ISNUMBER($B$7)),G46*M46*(1+$B$7),"")</f>
      </c>
      <c r="O46" s="15" t="str">
        <v>Not assessed</v>
      </c>
      <c r="P46" s="15" t="str">
        <v>Old power architecture: Rev B replacement planned; do not bulk-buy on these counts.</v>
      </c>
      <c r="Q46" s="14" t="str">
        <v>Search (not exact)</v>
      </c>
      <c r="R46" s="33" t="str">
        <f>IF(AND(ISNUMBER(J46),ISNUMBER($B$7)),IF(J46=0,0,IF(ISNUMBER(L46),J46*L46*(1+$B$7),"")),"")</f>
      </c>
      <c r="S46" s="15" t="str">
        <v>No quote / exact selection pending</v>
      </c>
      <c r="T46" s="15" t="str">
        <v>No forecast; use contingency input</v>
      </c>
    </row>
    <row r="47" ht="48" customHeight="1">
      <c r="A47" s="15" t="str">
        <v>R54</v>
      </c>
      <c r="B47" s="15" t="str">
        <v>11k</v>
      </c>
      <c r="C47" s="2" t="n">
        <v>1</v>
      </c>
      <c r="D47" s="29" t="str">
        <v>Yes</v>
      </c>
      <c r="E47" s="2" t="n">
        <f>IF(D47&lt;&gt;"Yes",0,IF(ISNUMBER($B$4),C47*$B$4,""))</f>
        <v>10</v>
      </c>
      <c r="F47" s="15" t="n">
        <f>IF(AND(ISNUMBER(E47),ISNUMBER($B$5),ISNUMBER($B$6)),IF(E47=0,0,ROUNDUP(E47*$B$5,0)+$B$6),"")</f>
        <v>3</v>
      </c>
      <c r="G47" s="2" t="n">
        <f>IF(AND(ISNUMBER(E47),ISNUMBER(F47)),E47+F47,"")</f>
        <v>13</v>
      </c>
      <c r="H47" s="29"/>
      <c r="I47" s="29"/>
      <c r="J47" s="2" t="str">
        <f>IF(AND(ISNUMBER(H47),ISNUMBER(I47)),MAX(0,G47-H47-I47),"")</f>
      </c>
      <c r="K47" s="31" t="str">
        <f>IF(ISNUMBER(G47),IF(G47=0,0,""),"")</f>
      </c>
      <c r="L47" s="32"/>
      <c r="M47" s="31" t="str">
        <f>IF(D47&lt;&gt;"Yes","",IF(ISNUMBER(L47),L47,IF(ISNUMBER(K47),K47,"")))</f>
      </c>
      <c r="N47" s="31" t="str">
        <f>IF(AND(ISNUMBER(G47),ISNUMBER(M47),ISNUMBER($B$7)),G47*M47*(1+$B$7),"")</f>
      </c>
      <c r="O47" s="15" t="str">
        <v>Not assessed</v>
      </c>
      <c r="P47" s="15" t="str">
        <v>Verify exact MPN, ratings, footprint and Rev B retention.</v>
      </c>
      <c r="Q47" s="14" t="str">
        <v>Search (not exact)</v>
      </c>
      <c r="R47" s="33" t="str">
        <f>IF(AND(ISNUMBER(J47),ISNUMBER($B$7)),IF(J47=0,0,IF(ISNUMBER(L47),J47*L47*(1+$B$7),"")),"")</f>
      </c>
      <c r="S47" s="15" t="str">
        <v>No quote / exact selection pending</v>
      </c>
      <c r="T47" s="15" t="str">
        <v>No forecast; use contingency input</v>
      </c>
    </row>
    <row r="48" ht="48" customHeight="1">
      <c r="A48" s="15" t="str">
        <v>R29, R31, R28, R30, R72, R73</v>
      </c>
      <c r="B48" s="15" t="str">
        <v>120</v>
      </c>
      <c r="C48" s="2" t="n">
        <v>6</v>
      </c>
      <c r="D48" s="29" t="str">
        <v>Yes</v>
      </c>
      <c r="E48" s="2" t="n">
        <f>IF(D48&lt;&gt;"Yes",0,IF(ISNUMBER($B$4),C48*$B$4,""))</f>
        <v>60</v>
      </c>
      <c r="F48" s="15" t="n">
        <f>IF(AND(ISNUMBER(E48),ISNUMBER($B$5),ISNUMBER($B$6)),IF(E48=0,0,ROUNDUP(E48*$B$5,0)+$B$6),"")</f>
        <v>8</v>
      </c>
      <c r="G48" s="2" t="n">
        <f>IF(AND(ISNUMBER(E48),ISNUMBER(F48)),E48+F48,"")</f>
        <v>68</v>
      </c>
      <c r="H48" s="29"/>
      <c r="I48" s="29"/>
      <c r="J48" s="2" t="str">
        <f>IF(AND(ISNUMBER(H48),ISNUMBER(I48)),MAX(0,G48-H48-I48),"")</f>
      </c>
      <c r="K48" s="31" t="str">
        <f>IF(ISNUMBER(G48),IF(G48=0,0,""),"")</f>
      </c>
      <c r="L48" s="32"/>
      <c r="M48" s="31" t="str">
        <f>IF(D48&lt;&gt;"Yes","",IF(ISNUMBER(L48),L48,IF(ISNUMBER(K48),K48,"")))</f>
      </c>
      <c r="N48" s="31" t="str">
        <f>IF(AND(ISNUMBER(G48),ISNUMBER(M48),ISNUMBER($B$7)),G48*M48*(1+$B$7),"")</f>
      </c>
      <c r="O48" s="15" t="str">
        <v>Not assessed</v>
      </c>
      <c r="P48" s="15" t="str">
        <v>Verify exact MPN, ratings, footprint and Rev B retention.</v>
      </c>
      <c r="Q48" s="14" t="str">
        <v>Search (not exact)</v>
      </c>
      <c r="R48" s="33" t="str">
        <f>IF(AND(ISNUMBER(J48),ISNUMBER($B$7)),IF(J48=0,0,IF(ISNUMBER(L48),J48*L48*(1+$B$7),"")),"")</f>
      </c>
      <c r="S48" s="15" t="str">
        <v>No quote / exact selection pending</v>
      </c>
      <c r="T48" s="15" t="str">
        <v>No forecast; use contingency input</v>
      </c>
    </row>
    <row r="49" ht="48" customHeight="1">
      <c r="A49" s="15" t="str">
        <v>R76, R77, R74, R75, R18, R68, R69, R56, R57, R9, R19</v>
      </c>
      <c r="B49" s="15" t="str">
        <v>12k</v>
      </c>
      <c r="C49" s="2" t="n">
        <v>11</v>
      </c>
      <c r="D49" s="29" t="str">
        <v>Yes</v>
      </c>
      <c r="E49" s="2" t="n">
        <f>IF(D49&lt;&gt;"Yes",0,IF(ISNUMBER($B$4),C49*$B$4,""))</f>
        <v>110</v>
      </c>
      <c r="F49" s="15" t="n">
        <f>IF(AND(ISNUMBER(E49),ISNUMBER($B$5),ISNUMBER($B$6)),IF(E49=0,0,ROUNDUP(E49*$B$5,0)+$B$6),"")</f>
        <v>13</v>
      </c>
      <c r="G49" s="2" t="n">
        <f>IF(AND(ISNUMBER(E49),ISNUMBER(F49)),E49+F49,"")</f>
        <v>123</v>
      </c>
      <c r="H49" s="29"/>
      <c r="I49" s="29"/>
      <c r="J49" s="2" t="str">
        <f>IF(AND(ISNUMBER(H49),ISNUMBER(I49)),MAX(0,G49-H49-I49),"")</f>
      </c>
      <c r="K49" s="31" t="str">
        <f>IF(ISNUMBER(G49),IF(G49=0,0,""),"")</f>
      </c>
      <c r="L49" s="32"/>
      <c r="M49" s="31" t="str">
        <f>IF(D49&lt;&gt;"Yes","",IF(ISNUMBER(L49),L49,IF(ISNUMBER(K49),K49,"")))</f>
      </c>
      <c r="N49" s="31" t="str">
        <f>IF(AND(ISNUMBER(G49),ISNUMBER(M49),ISNUMBER($B$7)),G49*M49*(1+$B$7),"")</f>
      </c>
      <c r="O49" s="15" t="str">
        <v>Not assessed</v>
      </c>
      <c r="P49" s="15" t="str">
        <v>Old power architecture: Rev B replacement planned; do not bulk-buy on these counts.</v>
      </c>
      <c r="Q49" s="14" t="str">
        <v>Search (not exact)</v>
      </c>
      <c r="R49" s="33" t="str">
        <f>IF(AND(ISNUMBER(J49),ISNUMBER($B$7)),IF(J49=0,0,IF(ISNUMBER(L49),J49*L49*(1+$B$7),"")),"")</f>
      </c>
      <c r="S49" s="15" t="str">
        <v>No quote / exact selection pending</v>
      </c>
      <c r="T49" s="15" t="str">
        <v>No forecast; use contingency input</v>
      </c>
    </row>
    <row r="50" ht="48" customHeight="1">
      <c r="A50" s="15" t="str">
        <v>R2</v>
      </c>
      <c r="B50" s="15" t="str">
        <v>12k 1%</v>
      </c>
      <c r="C50" s="2" t="n">
        <v>1</v>
      </c>
      <c r="D50" s="29" t="str">
        <v>Yes</v>
      </c>
      <c r="E50" s="2" t="n">
        <f>IF(D50&lt;&gt;"Yes",0,IF(ISNUMBER($B$4),C50*$B$4,""))</f>
        <v>10</v>
      </c>
      <c r="F50" s="15" t="n">
        <f>IF(AND(ISNUMBER(E50),ISNUMBER($B$5),ISNUMBER($B$6)),IF(E50=0,0,ROUNDUP(E50*$B$5,0)+$B$6),"")</f>
        <v>3</v>
      </c>
      <c r="G50" s="2" t="n">
        <f>IF(AND(ISNUMBER(E50),ISNUMBER(F50)),E50+F50,"")</f>
        <v>13</v>
      </c>
      <c r="H50" s="29"/>
      <c r="I50" s="29"/>
      <c r="J50" s="2" t="str">
        <f>IF(AND(ISNUMBER(H50),ISNUMBER(I50)),MAX(0,G50-H50-I50),"")</f>
      </c>
      <c r="K50" s="31" t="str">
        <f>IF(ISNUMBER(G50),IF(G50=0,0,""),"")</f>
      </c>
      <c r="L50" s="32"/>
      <c r="M50" s="31" t="str">
        <f>IF(D50&lt;&gt;"Yes","",IF(ISNUMBER(L50),L50,IF(ISNUMBER(K50),K50,"")))</f>
      </c>
      <c r="N50" s="31" t="str">
        <f>IF(AND(ISNUMBER(G50),ISNUMBER(M50),ISNUMBER($B$7)),G50*M50*(1+$B$7),"")</f>
      </c>
      <c r="O50" s="15" t="str">
        <v>Not assessed</v>
      </c>
      <c r="P50" s="15" t="str">
        <v>Old power architecture: Rev B replacement planned; do not bulk-buy on these counts.</v>
      </c>
      <c r="Q50" s="14" t="str">
        <v>Search (not exact)</v>
      </c>
      <c r="R50" s="33" t="str">
        <f>IF(AND(ISNUMBER(J50),ISNUMBER($B$7)),IF(J50=0,0,IF(ISNUMBER(L50),J50*L50*(1+$B$7),"")),"")</f>
      </c>
      <c r="S50" s="15" t="str">
        <v>No quote / exact selection pending</v>
      </c>
      <c r="T50" s="15" t="str">
        <v>No forecast; use contingency input</v>
      </c>
    </row>
    <row r="51" ht="48" customHeight="1">
      <c r="A51" s="15" t="str">
        <v>C193, C194</v>
      </c>
      <c r="B51" s="15" t="str">
        <v>12p</v>
      </c>
      <c r="C51" s="2" t="n">
        <v>2</v>
      </c>
      <c r="D51" s="29" t="str">
        <v>Yes</v>
      </c>
      <c r="E51" s="2" t="n">
        <f>IF(D51&lt;&gt;"Yes",0,IF(ISNUMBER($B$4),C51*$B$4,""))</f>
        <v>20</v>
      </c>
      <c r="F51" s="15" t="n">
        <f>IF(AND(ISNUMBER(E51),ISNUMBER($B$5),ISNUMBER($B$6)),IF(E51=0,0,ROUNDUP(E51*$B$5,0)+$B$6),"")</f>
        <v>4</v>
      </c>
      <c r="G51" s="2" t="n">
        <f>IF(AND(ISNUMBER(E51),ISNUMBER(F51)),E51+F51,"")</f>
        <v>24</v>
      </c>
      <c r="H51" s="29"/>
      <c r="I51" s="29"/>
      <c r="J51" s="2" t="str">
        <f>IF(AND(ISNUMBER(H51),ISNUMBER(I51)),MAX(0,G51-H51-I51),"")</f>
      </c>
      <c r="K51" s="31" t="str">
        <f>IF(ISNUMBER(G51),IF(G51=0,0,""),"")</f>
      </c>
      <c r="L51" s="32"/>
      <c r="M51" s="31" t="str">
        <f>IF(D51&lt;&gt;"Yes","",IF(ISNUMBER(L51),L51,IF(ISNUMBER(K51),K51,"")))</f>
      </c>
      <c r="N51" s="31" t="str">
        <f>IF(AND(ISNUMBER(G51),ISNUMBER(M51),ISNUMBER($B$7)),G51*M51*(1+$B$7),"")</f>
      </c>
      <c r="O51" s="15" t="str">
        <v>Not assessed</v>
      </c>
      <c r="P51" s="15" t="str">
        <v>Verify exact MPN, ratings, footprint and Rev B retention.</v>
      </c>
      <c r="Q51" s="14" t="str">
        <v>Search (not exact)</v>
      </c>
      <c r="R51" s="33" t="str">
        <f>IF(AND(ISNUMBER(J51),ISNUMBER($B$7)),IF(J51=0,0,IF(ISNUMBER(L51),J51*L51*(1+$B$7),"")),"")</f>
      </c>
      <c r="S51" s="15" t="str">
        <v>No quote / exact selection pending</v>
      </c>
      <c r="T51" s="15" t="str">
        <v>No forecast; use contingency input</v>
      </c>
    </row>
    <row r="52" ht="48" customHeight="1">
      <c r="A52" s="15" t="str">
        <v>R7</v>
      </c>
      <c r="B52" s="15" t="str">
        <v>15k 1%</v>
      </c>
      <c r="C52" s="2" t="n">
        <v>1</v>
      </c>
      <c r="D52" s="29" t="str">
        <v>Yes</v>
      </c>
      <c r="E52" s="2" t="n">
        <f>IF(D52&lt;&gt;"Yes",0,IF(ISNUMBER($B$4),C52*$B$4,""))</f>
        <v>10</v>
      </c>
      <c r="F52" s="15" t="n">
        <f>IF(AND(ISNUMBER(E52),ISNUMBER($B$5),ISNUMBER($B$6)),IF(E52=0,0,ROUNDUP(E52*$B$5,0)+$B$6),"")</f>
        <v>3</v>
      </c>
      <c r="G52" s="2" t="n">
        <f>IF(AND(ISNUMBER(E52),ISNUMBER(F52)),E52+F52,"")</f>
        <v>13</v>
      </c>
      <c r="H52" s="29"/>
      <c r="I52" s="29"/>
      <c r="J52" s="2" t="str">
        <f>IF(AND(ISNUMBER(H52),ISNUMBER(I52)),MAX(0,G52-H52-I52),"")</f>
      </c>
      <c r="K52" s="31" t="str">
        <f>IF(ISNUMBER(G52),IF(G52=0,0,""),"")</f>
      </c>
      <c r="L52" s="32"/>
      <c r="M52" s="31" t="str">
        <f>IF(D52&lt;&gt;"Yes","",IF(ISNUMBER(L52),L52,IF(ISNUMBER(K52),K52,"")))</f>
      </c>
      <c r="N52" s="31" t="str">
        <f>IF(AND(ISNUMBER(G52),ISNUMBER(M52),ISNUMBER($B$7)),G52*M52*(1+$B$7),"")</f>
      </c>
      <c r="O52" s="15" t="str">
        <v>Not assessed</v>
      </c>
      <c r="P52" s="15" t="str">
        <v>Old power architecture: Rev B replacement planned; do not bulk-buy on these counts.</v>
      </c>
      <c r="Q52" s="14" t="str">
        <v>Search (not exact)</v>
      </c>
      <c r="R52" s="33" t="str">
        <f>IF(AND(ISNUMBER(J52),ISNUMBER($B$7)),IF(J52=0,0,IF(ISNUMBER(L52),J52*L52*(1+$B$7),"")),"")</f>
      </c>
      <c r="S52" s="15" t="str">
        <v>No quote / exact selection pending</v>
      </c>
      <c r="T52" s="15" t="str">
        <v>No forecast; use contingency input</v>
      </c>
    </row>
    <row r="53" ht="48" customHeight="1">
      <c r="A53" s="15" t="str">
        <v>R52</v>
      </c>
      <c r="B53" s="15" t="str">
        <v>16k</v>
      </c>
      <c r="C53" s="2" t="n">
        <v>1</v>
      </c>
      <c r="D53" s="29" t="str">
        <v>Yes</v>
      </c>
      <c r="E53" s="2" t="n">
        <f>IF(D53&lt;&gt;"Yes",0,IF(ISNUMBER($B$4),C53*$B$4,""))</f>
        <v>10</v>
      </c>
      <c r="F53" s="15" t="n">
        <f>IF(AND(ISNUMBER(E53),ISNUMBER($B$5),ISNUMBER($B$6)),IF(E53=0,0,ROUNDUP(E53*$B$5,0)+$B$6),"")</f>
        <v>3</v>
      </c>
      <c r="G53" s="2" t="n">
        <f>IF(AND(ISNUMBER(E53),ISNUMBER(F53)),E53+F53,"")</f>
        <v>13</v>
      </c>
      <c r="H53" s="29"/>
      <c r="I53" s="29"/>
      <c r="J53" s="2" t="str">
        <f>IF(AND(ISNUMBER(H53),ISNUMBER(I53)),MAX(0,G53-H53-I53),"")</f>
      </c>
      <c r="K53" s="31" t="str">
        <f>IF(ISNUMBER(G53),IF(G53=0,0,""),"")</f>
      </c>
      <c r="L53" s="32"/>
      <c r="M53" s="31" t="str">
        <f>IF(D53&lt;&gt;"Yes","",IF(ISNUMBER(L53),L53,IF(ISNUMBER(K53),K53,"")))</f>
      </c>
      <c r="N53" s="31" t="str">
        <f>IF(AND(ISNUMBER(G53),ISNUMBER(M53),ISNUMBER($B$7)),G53*M53*(1+$B$7),"")</f>
      </c>
      <c r="O53" s="15" t="str">
        <v>Not assessed</v>
      </c>
      <c r="P53" s="15" t="str">
        <v>Verify exact MPN, ratings, footprint and Rev B retention.</v>
      </c>
      <c r="Q53" s="14" t="str">
        <v>Search (not exact)</v>
      </c>
      <c r="R53" s="33" t="str">
        <f>IF(AND(ISNUMBER(J53),ISNUMBER($B$7)),IF(J53=0,0,IF(ISNUMBER(L53),J53*L53*(1+$B$7),"")),"")</f>
      </c>
      <c r="S53" s="15" t="str">
        <v>No quote / exact selection pending</v>
      </c>
      <c r="T53" s="15" t="str">
        <v>No forecast; use contingency input</v>
      </c>
    </row>
    <row r="54" ht="48" customHeight="1">
      <c r="A54" s="15" t="str">
        <v>C49, C50, C160, C161, C70, C71</v>
      </c>
      <c r="B54" s="15" t="str">
        <v>16p</v>
      </c>
      <c r="C54" s="2" t="n">
        <v>6</v>
      </c>
      <c r="D54" s="29" t="str">
        <v>Yes</v>
      </c>
      <c r="E54" s="2" t="n">
        <f>IF(D54&lt;&gt;"Yes",0,IF(ISNUMBER($B$4),C54*$B$4,""))</f>
        <v>60</v>
      </c>
      <c r="F54" s="15" t="n">
        <f>IF(AND(ISNUMBER(E54),ISNUMBER($B$5),ISNUMBER($B$6)),IF(E54=0,0,ROUNDUP(E54*$B$5,0)+$B$6),"")</f>
        <v>8</v>
      </c>
      <c r="G54" s="2" t="n">
        <f>IF(AND(ISNUMBER(E54),ISNUMBER(F54)),E54+F54,"")</f>
        <v>68</v>
      </c>
      <c r="H54" s="29"/>
      <c r="I54" s="29"/>
      <c r="J54" s="2" t="str">
        <f>IF(AND(ISNUMBER(H54),ISNUMBER(I54)),MAX(0,G54-H54-I54),"")</f>
      </c>
      <c r="K54" s="31" t="str">
        <f>IF(ISNUMBER(G54),IF(G54=0,0,""),"")</f>
      </c>
      <c r="L54" s="32"/>
      <c r="M54" s="31" t="str">
        <f>IF(D54&lt;&gt;"Yes","",IF(ISNUMBER(L54),L54,IF(ISNUMBER(K54),K54,"")))</f>
      </c>
      <c r="N54" s="31" t="str">
        <f>IF(AND(ISNUMBER(G54),ISNUMBER(M54),ISNUMBER($B$7)),G54*M54*(1+$B$7),"")</f>
      </c>
      <c r="O54" s="15" t="str">
        <v>Not assessed</v>
      </c>
      <c r="P54" s="15" t="str">
        <v>Verify exact MPN, ratings, footprint and Rev B retention.</v>
      </c>
      <c r="Q54" s="14" t="str">
        <v>Search (not exact)</v>
      </c>
      <c r="R54" s="33" t="str">
        <f>IF(AND(ISNUMBER(J54),ISNUMBER($B$7)),IF(J54=0,0,IF(ISNUMBER(L54),J54*L54*(1+$B$7),"")),"")</f>
      </c>
      <c r="S54" s="15" t="str">
        <v>No quote / exact selection pending</v>
      </c>
      <c r="T54" s="15" t="str">
        <v>No forecast; use contingency input</v>
      </c>
    </row>
    <row r="55" ht="48" customHeight="1">
      <c r="A55" s="15" t="str">
        <v>C180</v>
      </c>
      <c r="B55" s="15" t="str">
        <v>18p</v>
      </c>
      <c r="C55" s="2" t="n">
        <v>1</v>
      </c>
      <c r="D55" s="29" t="str">
        <v>Yes</v>
      </c>
      <c r="E55" s="2" t="n">
        <f>IF(D55&lt;&gt;"Yes",0,IF(ISNUMBER($B$4),C55*$B$4,""))</f>
        <v>10</v>
      </c>
      <c r="F55" s="15" t="n">
        <f>IF(AND(ISNUMBER(E55),ISNUMBER($B$5),ISNUMBER($B$6)),IF(E55=0,0,ROUNDUP(E55*$B$5,0)+$B$6),"")</f>
        <v>3</v>
      </c>
      <c r="G55" s="2" t="n">
        <f>IF(AND(ISNUMBER(E55),ISNUMBER(F55)),E55+F55,"")</f>
        <v>13</v>
      </c>
      <c r="H55" s="29"/>
      <c r="I55" s="29"/>
      <c r="J55" s="2" t="str">
        <f>IF(AND(ISNUMBER(H55),ISNUMBER(I55)),MAX(0,G55-H55-I55),"")</f>
      </c>
      <c r="K55" s="31" t="str">
        <f>IF(ISNUMBER(G55),IF(G55=0,0,""),"")</f>
      </c>
      <c r="L55" s="32"/>
      <c r="M55" s="31" t="str">
        <f>IF(D55&lt;&gt;"Yes","",IF(ISNUMBER(L55),L55,IF(ISNUMBER(K55),K55,"")))</f>
      </c>
      <c r="N55" s="31" t="str">
        <f>IF(AND(ISNUMBER(G55),ISNUMBER(M55),ISNUMBER($B$7)),G55*M55*(1+$B$7),"")</f>
      </c>
      <c r="O55" s="15" t="str">
        <v>Not assessed</v>
      </c>
      <c r="P55" s="15" t="str">
        <v>Verify exact MPN, ratings, footprint and Rev B retention.</v>
      </c>
      <c r="Q55" s="14" t="str">
        <v>Search (not exact)</v>
      </c>
      <c r="R55" s="33" t="str">
        <f>IF(AND(ISNUMBER(J55),ISNUMBER($B$7)),IF(J55=0,0,IF(ISNUMBER(L55),J55*L55*(1+$B$7),"")),"")</f>
      </c>
      <c r="S55" s="15" t="str">
        <v>No quote / exact selection pending</v>
      </c>
      <c r="T55" s="15" t="str">
        <v>No forecast; use contingency input</v>
      </c>
    </row>
    <row r="56" ht="48" customHeight="1">
      <c r="A56" s="15" t="str">
        <v>R82, R83, R42, R43, R44</v>
      </c>
      <c r="B56" s="15" t="str">
        <v>1k</v>
      </c>
      <c r="C56" s="2" t="n">
        <v>5</v>
      </c>
      <c r="D56" s="29" t="str">
        <v>Yes</v>
      </c>
      <c r="E56" s="2" t="n">
        <f>IF(D56&lt;&gt;"Yes",0,IF(ISNUMBER($B$4),C56*$B$4,""))</f>
        <v>50</v>
      </c>
      <c r="F56" s="15" t="n">
        <f>IF(AND(ISNUMBER(E56),ISNUMBER($B$5),ISNUMBER($B$6)),IF(E56=0,0,ROUNDUP(E56*$B$5,0)+$B$6),"")</f>
        <v>7</v>
      </c>
      <c r="G56" s="2" t="n">
        <f>IF(AND(ISNUMBER(E56),ISNUMBER(F56)),E56+F56,"")</f>
        <v>57</v>
      </c>
      <c r="H56" s="29"/>
      <c r="I56" s="29"/>
      <c r="J56" s="2" t="str">
        <f>IF(AND(ISNUMBER(H56),ISNUMBER(I56)),MAX(0,G56-H56-I56),"")</f>
      </c>
      <c r="K56" s="31" t="str">
        <f>IF(ISNUMBER(G56),IF(G56=0,0,""),"")</f>
      </c>
      <c r="L56" s="32"/>
      <c r="M56" s="31" t="str">
        <f>IF(D56&lt;&gt;"Yes","",IF(ISNUMBER(L56),L56,IF(ISNUMBER(K56),K56,"")))</f>
      </c>
      <c r="N56" s="31" t="str">
        <f>IF(AND(ISNUMBER(G56),ISNUMBER(M56),ISNUMBER($B$7)),G56*M56*(1+$B$7),"")</f>
      </c>
      <c r="O56" s="15" t="str">
        <v>Not assessed</v>
      </c>
      <c r="P56" s="15" t="str">
        <v>Verify exact MPN, ratings, footprint and Rev B retention.</v>
      </c>
      <c r="Q56" s="14" t="str">
        <v>Search (not exact)</v>
      </c>
      <c r="R56" s="33" t="str">
        <f>IF(AND(ISNUMBER(J56),ISNUMBER($B$7)),IF(J56=0,0,IF(ISNUMBER(L56),J56*L56*(1+$B$7),"")),"")</f>
      </c>
      <c r="S56" s="15" t="str">
        <v>No quote / exact selection pending</v>
      </c>
      <c r="T56" s="15" t="str">
        <v>No forecast; use contingency input</v>
      </c>
    </row>
    <row r="57" ht="48" customHeight="1">
      <c r="A57" s="15" t="str">
        <v>C206</v>
      </c>
      <c r="B57" s="15" t="str">
        <v>1n</v>
      </c>
      <c r="C57" s="2" t="n">
        <v>1</v>
      </c>
      <c r="D57" s="29" t="str">
        <v>Yes</v>
      </c>
      <c r="E57" s="2" t="n">
        <f>IF(D57&lt;&gt;"Yes",0,IF(ISNUMBER($B$4),C57*$B$4,""))</f>
        <v>10</v>
      </c>
      <c r="F57" s="15" t="n">
        <f>IF(AND(ISNUMBER(E57),ISNUMBER($B$5),ISNUMBER($B$6)),IF(E57=0,0,ROUNDUP(E57*$B$5,0)+$B$6),"")</f>
        <v>3</v>
      </c>
      <c r="G57" s="2" t="n">
        <f>IF(AND(ISNUMBER(E57),ISNUMBER(F57)),E57+F57,"")</f>
        <v>13</v>
      </c>
      <c r="H57" s="29"/>
      <c r="I57" s="29"/>
      <c r="J57" s="2" t="str">
        <f>IF(AND(ISNUMBER(H57),ISNUMBER(I57)),MAX(0,G57-H57-I57),"")</f>
      </c>
      <c r="K57" s="31" t="str">
        <f>IF(ISNUMBER(G57),IF(G57=0,0,""),"")</f>
      </c>
      <c r="L57" s="32"/>
      <c r="M57" s="31" t="str">
        <f>IF(D57&lt;&gt;"Yes","",IF(ISNUMBER(L57),L57,IF(ISNUMBER(K57),K57,"")))</f>
      </c>
      <c r="N57" s="31" t="str">
        <f>IF(AND(ISNUMBER(G57),ISNUMBER(M57),ISNUMBER($B$7)),G57*M57*(1+$B$7),"")</f>
      </c>
      <c r="O57" s="15" t="str">
        <v>Not assessed</v>
      </c>
      <c r="P57" s="15" t="str">
        <v>Verify exact MPN, ratings, footprint and Rev B retention.</v>
      </c>
      <c r="Q57" s="14" t="str">
        <v>Search (not exact)</v>
      </c>
      <c r="R57" s="33" t="str">
        <f>IF(AND(ISNUMBER(J57),ISNUMBER($B$7)),IF(J57=0,0,IF(ISNUMBER(L57),J57*L57*(1+$B$7),"")),"")</f>
      </c>
      <c r="S57" s="15" t="str">
        <v>No quote / exact selection pending</v>
      </c>
      <c r="T57" s="15" t="str">
        <v>No forecast; use contingency input</v>
      </c>
    </row>
    <row r="58" ht="48" customHeight="1">
      <c r="A58" s="15" t="str">
        <v>C14, C28</v>
      </c>
      <c r="B58" s="15" t="str">
        <v>1n2</v>
      </c>
      <c r="C58" s="2" t="n">
        <v>2</v>
      </c>
      <c r="D58" s="29" t="str">
        <v>Yes</v>
      </c>
      <c r="E58" s="2" t="n">
        <f>IF(D58&lt;&gt;"Yes",0,IF(ISNUMBER($B$4),C58*$B$4,""))</f>
        <v>20</v>
      </c>
      <c r="F58" s="15" t="n">
        <f>IF(AND(ISNUMBER(E58),ISNUMBER($B$5),ISNUMBER($B$6)),IF(E58=0,0,ROUNDUP(E58*$B$5,0)+$B$6),"")</f>
        <v>4</v>
      </c>
      <c r="G58" s="2" t="n">
        <f>IF(AND(ISNUMBER(E58),ISNUMBER(F58)),E58+F58,"")</f>
        <v>24</v>
      </c>
      <c r="H58" s="29"/>
      <c r="I58" s="29"/>
      <c r="J58" s="2" t="str">
        <f>IF(AND(ISNUMBER(H58),ISNUMBER(I58)),MAX(0,G58-H58-I58),"")</f>
      </c>
      <c r="K58" s="31" t="str">
        <f>IF(ISNUMBER(G58),IF(G58=0,0,""),"")</f>
      </c>
      <c r="L58" s="32"/>
      <c r="M58" s="31" t="str">
        <f>IF(D58&lt;&gt;"Yes","",IF(ISNUMBER(L58),L58,IF(ISNUMBER(K58),K58,"")))</f>
      </c>
      <c r="N58" s="31" t="str">
        <f>IF(AND(ISNUMBER(G58),ISNUMBER(M58),ISNUMBER($B$7)),G58*M58*(1+$B$7),"")</f>
      </c>
      <c r="O58" s="15" t="str">
        <v>Not assessed</v>
      </c>
      <c r="P58" s="15" t="str">
        <v>Old power architecture: Rev B replacement planned; do not bulk-buy on these counts.</v>
      </c>
      <c r="Q58" s="14" t="str">
        <v>Search (not exact)</v>
      </c>
      <c r="R58" s="33" t="str">
        <f>IF(AND(ISNUMBER(J58),ISNUMBER($B$7)),IF(J58=0,0,IF(ISNUMBER(L58),J58*L58*(1+$B$7),"")),"")</f>
      </c>
      <c r="S58" s="15" t="str">
        <v>No quote / exact selection pending</v>
      </c>
      <c r="T58" s="15" t="str">
        <v>No forecast; use contingency input</v>
      </c>
    </row>
    <row r="59" ht="48" customHeight="1">
      <c r="A59" s="15" t="str">
        <v>C181</v>
      </c>
      <c r="B59" s="15" t="str">
        <v>1p2</v>
      </c>
      <c r="C59" s="2" t="n">
        <v>1</v>
      </c>
      <c r="D59" s="29" t="str">
        <v>Yes</v>
      </c>
      <c r="E59" s="2" t="n">
        <f>IF(D59&lt;&gt;"Yes",0,IF(ISNUMBER($B$4),C59*$B$4,""))</f>
        <v>10</v>
      </c>
      <c r="F59" s="15" t="n">
        <f>IF(AND(ISNUMBER(E59),ISNUMBER($B$5),ISNUMBER($B$6)),IF(E59=0,0,ROUNDUP(E59*$B$5,0)+$B$6),"")</f>
        <v>3</v>
      </c>
      <c r="G59" s="2" t="n">
        <f>IF(AND(ISNUMBER(E59),ISNUMBER(F59)),E59+F59,"")</f>
        <v>13</v>
      </c>
      <c r="H59" s="29"/>
      <c r="I59" s="29"/>
      <c r="J59" s="2" t="str">
        <f>IF(AND(ISNUMBER(H59),ISNUMBER(I59)),MAX(0,G59-H59-I59),"")</f>
      </c>
      <c r="K59" s="31" t="str">
        <f>IF(ISNUMBER(G59),IF(G59=0,0,""),"")</f>
      </c>
      <c r="L59" s="32"/>
      <c r="M59" s="31" t="str">
        <f>IF(D59&lt;&gt;"Yes","",IF(ISNUMBER(L59),L59,IF(ISNUMBER(K59),K59,"")))</f>
      </c>
      <c r="N59" s="31" t="str">
        <f>IF(AND(ISNUMBER(G59),ISNUMBER(M59),ISNUMBER($B$7)),G59*M59*(1+$B$7),"")</f>
      </c>
      <c r="O59" s="15" t="str">
        <v>Not assessed</v>
      </c>
      <c r="P59" s="15" t="str">
        <v>Verify exact MPN, ratings, footprint and Rev B retention.</v>
      </c>
      <c r="Q59" s="14" t="str">
        <v>Search (not exact)</v>
      </c>
      <c r="R59" s="33" t="str">
        <f>IF(AND(ISNUMBER(J59),ISNUMBER($B$7)),IF(J59=0,0,IF(ISNUMBER(L59),J59*L59*(1+$B$7),"")),"")</f>
      </c>
      <c r="S59" s="15" t="str">
        <v>No quote / exact selection pending</v>
      </c>
      <c r="T59" s="15" t="str">
        <v>No forecast; use contingency input</v>
      </c>
    </row>
    <row r="60" ht="48" customHeight="1">
      <c r="A60" s="15" t="str">
        <v>C166, C167</v>
      </c>
      <c r="B60" s="15" t="str">
        <v>1p2 .1%</v>
      </c>
      <c r="C60" s="2" t="n">
        <v>2</v>
      </c>
      <c r="D60" s="29" t="str">
        <v>Yes</v>
      </c>
      <c r="E60" s="2" t="n">
        <f>IF(D60&lt;&gt;"Yes",0,IF(ISNUMBER($B$4),C60*$B$4,""))</f>
        <v>20</v>
      </c>
      <c r="F60" s="15" t="n">
        <f>IF(AND(ISNUMBER(E60),ISNUMBER($B$5),ISNUMBER($B$6)),IF(E60=0,0,ROUNDUP(E60*$B$5,0)+$B$6),"")</f>
        <v>4</v>
      </c>
      <c r="G60" s="2" t="n">
        <f>IF(AND(ISNUMBER(E60),ISNUMBER(F60)),E60+F60,"")</f>
        <v>24</v>
      </c>
      <c r="H60" s="29"/>
      <c r="I60" s="29"/>
      <c r="J60" s="2" t="str">
        <f>IF(AND(ISNUMBER(H60),ISNUMBER(I60)),MAX(0,G60-H60-I60),"")</f>
      </c>
      <c r="K60" s="31" t="str">
        <f>IF(ISNUMBER(G60),IF(G60=0,0,""),"")</f>
      </c>
      <c r="L60" s="32"/>
      <c r="M60" s="31" t="str">
        <f>IF(D60&lt;&gt;"Yes","",IF(ISNUMBER(L60),L60,IF(ISNUMBER(K60),K60,"")))</f>
      </c>
      <c r="N60" s="31" t="str">
        <f>IF(AND(ISNUMBER(G60),ISNUMBER(M60),ISNUMBER($B$7)),G60*M60*(1+$B$7),"")</f>
      </c>
      <c r="O60" s="15" t="str">
        <v>Not assessed</v>
      </c>
      <c r="P60" s="15" t="str">
        <v>Verify exact MPN, ratings, footprint and Rev B retention.</v>
      </c>
      <c r="Q60" s="14" t="str">
        <v>Search (not exact)</v>
      </c>
      <c r="R60" s="33" t="str">
        <f>IF(AND(ISNUMBER(J60),ISNUMBER($B$7)),IF(J60=0,0,IF(ISNUMBER(L60),J60*L60*(1+$B$7),"")),"")</f>
      </c>
      <c r="S60" s="15" t="str">
        <v>No quote / exact selection pending</v>
      </c>
      <c r="T60" s="15" t="str">
        <v>No forecast; use contingency input</v>
      </c>
    </row>
    <row r="61" ht="48" customHeight="1">
      <c r="A61" s="15" t="str">
        <v>C69</v>
      </c>
      <c r="B61" s="15" t="str">
        <v>1u</v>
      </c>
      <c r="C61" s="2" t="n">
        <v>1</v>
      </c>
      <c r="D61" s="29" t="str">
        <v>Yes</v>
      </c>
      <c r="E61" s="2" t="n">
        <f>IF(D61&lt;&gt;"Yes",0,IF(ISNUMBER($B$4),C61*$B$4,""))</f>
        <v>10</v>
      </c>
      <c r="F61" s="15" t="n">
        <f>IF(AND(ISNUMBER(E61),ISNUMBER($B$5),ISNUMBER($B$6)),IF(E61=0,0,ROUNDUP(E61*$B$5,0)+$B$6),"")</f>
        <v>3</v>
      </c>
      <c r="G61" s="2" t="n">
        <f>IF(AND(ISNUMBER(E61),ISNUMBER(F61)),E61+F61,"")</f>
        <v>13</v>
      </c>
      <c r="H61" s="29"/>
      <c r="I61" s="29"/>
      <c r="J61" s="2" t="str">
        <f>IF(AND(ISNUMBER(H61),ISNUMBER(I61)),MAX(0,G61-H61-I61),"")</f>
      </c>
      <c r="K61" s="31" t="str">
        <f>IF(ISNUMBER(G61),IF(G61=0,0,""),"")</f>
      </c>
      <c r="L61" s="32"/>
      <c r="M61" s="31" t="str">
        <f>IF(D61&lt;&gt;"Yes","",IF(ISNUMBER(L61),L61,IF(ISNUMBER(K61),K61,"")))</f>
      </c>
      <c r="N61" s="31" t="str">
        <f>IF(AND(ISNUMBER(G61),ISNUMBER(M61),ISNUMBER($B$7)),G61*M61*(1+$B$7),"")</f>
      </c>
      <c r="O61" s="15" t="str">
        <v>Not assessed</v>
      </c>
      <c r="P61" s="15" t="str">
        <v>Verify exact MPN, ratings, footprint and Rev B retention.</v>
      </c>
      <c r="Q61" s="14" t="str">
        <v>Search (not exact)</v>
      </c>
      <c r="R61" s="33" t="str">
        <f>IF(AND(ISNUMBER(J61),ISNUMBER($B$7)),IF(J61=0,0,IF(ISNUMBER(L61),J61*L61*(1+$B$7),"")),"")</f>
      </c>
      <c r="S61" s="15" t="str">
        <v>No quote / exact selection pending</v>
      </c>
      <c r="T61" s="15" t="str">
        <v>No forecast; use contingency input</v>
      </c>
    </row>
    <row r="62" ht="48" customHeight="1">
      <c r="A62" s="15" t="str">
        <v>R33, R34, R35, R32</v>
      </c>
      <c r="B62" s="15" t="str">
        <v>200</v>
      </c>
      <c r="C62" s="2" t="n">
        <v>4</v>
      </c>
      <c r="D62" s="29" t="str">
        <v>Yes</v>
      </c>
      <c r="E62" s="2" t="n">
        <f>IF(D62&lt;&gt;"Yes",0,IF(ISNUMBER($B$4),C62*$B$4,""))</f>
        <v>40</v>
      </c>
      <c r="F62" s="15" t="n">
        <f>IF(AND(ISNUMBER(E62),ISNUMBER($B$5),ISNUMBER($B$6)),IF(E62=0,0,ROUNDUP(E62*$B$5,0)+$B$6),"")</f>
        <v>6</v>
      </c>
      <c r="G62" s="2" t="n">
        <f>IF(AND(ISNUMBER(E62),ISNUMBER(F62)),E62+F62,"")</f>
        <v>46</v>
      </c>
      <c r="H62" s="29"/>
      <c r="I62" s="29"/>
      <c r="J62" s="2" t="str">
        <f>IF(AND(ISNUMBER(H62),ISNUMBER(I62)),MAX(0,G62-H62-I62),"")</f>
      </c>
      <c r="K62" s="31" t="str">
        <f>IF(ISNUMBER(G62),IF(G62=0,0,""),"")</f>
      </c>
      <c r="L62" s="32"/>
      <c r="M62" s="31" t="str">
        <f>IF(D62&lt;&gt;"Yes","",IF(ISNUMBER(L62),L62,IF(ISNUMBER(K62),K62,"")))</f>
      </c>
      <c r="N62" s="31" t="str">
        <f>IF(AND(ISNUMBER(G62),ISNUMBER(M62),ISNUMBER($B$7)),G62*M62*(1+$B$7),"")</f>
      </c>
      <c r="O62" s="15" t="str">
        <v>Not assessed</v>
      </c>
      <c r="P62" s="15" t="str">
        <v>Verify exact MPN, ratings, footprint and Rev B retention.</v>
      </c>
      <c r="Q62" s="14" t="str">
        <v>Search (not exact)</v>
      </c>
      <c r="R62" s="33" t="str">
        <f>IF(AND(ISNUMBER(J62),ISNUMBER($B$7)),IF(J62=0,0,IF(ISNUMBER(L62),J62*L62*(1+$B$7),"")),"")</f>
      </c>
      <c r="S62" s="15" t="str">
        <v>No quote / exact selection pending</v>
      </c>
      <c r="T62" s="15" t="str">
        <v>No forecast; use contingency input</v>
      </c>
    </row>
    <row r="63" ht="48" customHeight="1">
      <c r="A63" s="15" t="str">
        <v>J39</v>
      </c>
      <c r="B63" s="15" t="str">
        <v>2041119-1</v>
      </c>
      <c r="C63" s="2" t="n">
        <v>1</v>
      </c>
      <c r="D63" s="29" t="str">
        <v>Yes</v>
      </c>
      <c r="E63" s="2" t="n">
        <f>IF(D63&lt;&gt;"Yes",0,IF(ISNUMBER($B$4),C63*$B$4,""))</f>
        <v>10</v>
      </c>
      <c r="F63" s="15" t="n">
        <f>IF(AND(ISNUMBER(E63),ISNUMBER($B$5),ISNUMBER($B$6)),IF(E63=0,0,ROUNDUP(E63*$B$5,0)+$B$6),"")</f>
        <v>3</v>
      </c>
      <c r="G63" s="2" t="n">
        <f>IF(AND(ISNUMBER(E63),ISNUMBER(F63)),E63+F63,"")</f>
        <v>13</v>
      </c>
      <c r="H63" s="29"/>
      <c r="I63" s="29"/>
      <c r="J63" s="2" t="str">
        <f>IF(AND(ISNUMBER(H63),ISNUMBER(I63)),MAX(0,G63-H63-I63),"")</f>
      </c>
      <c r="K63" s="31" t="str">
        <f>IF(ISNUMBER(G63),IF(G63=0,0,""),"")</f>
      </c>
      <c r="L63" s="32"/>
      <c r="M63" s="31" t="str">
        <f>IF(D63&lt;&gt;"Yes","",IF(ISNUMBER(L63),L63,IF(ISNUMBER(K63),K63,"")))</f>
      </c>
      <c r="N63" s="31" t="str">
        <f>IF(AND(ISNUMBER(G63),ISNUMBER(M63),ISNUMBER($B$7)),G63*M63*(1+$B$7),"")</f>
      </c>
      <c r="O63" s="15" t="str">
        <v>Not assessed</v>
      </c>
      <c r="P63" s="15" t="str">
        <v>Verify exact MPN, ratings, footprint and Rev B retention.</v>
      </c>
      <c r="Q63" s="14" t="str">
        <v>Search (not exact)</v>
      </c>
      <c r="R63" s="33" t="str">
        <f>IF(AND(ISNUMBER(J63),ISNUMBER($B$7)),IF(J63=0,0,IF(ISNUMBER(L63),J63*L63*(1+$B$7),"")),"")</f>
      </c>
      <c r="S63" s="15" t="str">
        <v>No quote / exact selection pending</v>
      </c>
      <c r="T63" s="15" t="str">
        <v>No forecast; use contingency input</v>
      </c>
    </row>
    <row r="64" ht="48" customHeight="1">
      <c r="A64" s="15" t="str">
        <v>R4, R8</v>
      </c>
      <c r="B64" s="15" t="str">
        <v>20k</v>
      </c>
      <c r="C64" s="2" t="n">
        <v>2</v>
      </c>
      <c r="D64" s="29" t="str">
        <v>Yes</v>
      </c>
      <c r="E64" s="2" t="n">
        <f>IF(D64&lt;&gt;"Yes",0,IF(ISNUMBER($B$4),C64*$B$4,""))</f>
        <v>20</v>
      </c>
      <c r="F64" s="15" t="n">
        <f>IF(AND(ISNUMBER(E64),ISNUMBER($B$5),ISNUMBER($B$6)),IF(E64=0,0,ROUNDUP(E64*$B$5,0)+$B$6),"")</f>
        <v>4</v>
      </c>
      <c r="G64" s="2" t="n">
        <f>IF(AND(ISNUMBER(E64),ISNUMBER(F64)),E64+F64,"")</f>
        <v>24</v>
      </c>
      <c r="H64" s="29"/>
      <c r="I64" s="29"/>
      <c r="J64" s="2" t="str">
        <f>IF(AND(ISNUMBER(H64),ISNUMBER(I64)),MAX(0,G64-H64-I64),"")</f>
      </c>
      <c r="K64" s="31" t="str">
        <f>IF(ISNUMBER(G64),IF(G64=0,0,""),"")</f>
      </c>
      <c r="L64" s="32"/>
      <c r="M64" s="31" t="str">
        <f>IF(D64&lt;&gt;"Yes","",IF(ISNUMBER(L64),L64,IF(ISNUMBER(K64),K64,"")))</f>
      </c>
      <c r="N64" s="31" t="str">
        <f>IF(AND(ISNUMBER(G64),ISNUMBER(M64),ISNUMBER($B$7)),G64*M64*(1+$B$7),"")</f>
      </c>
      <c r="O64" s="15" t="str">
        <v>Not assessed</v>
      </c>
      <c r="P64" s="15" t="str">
        <v>Old power architecture: Rev B replacement planned; do not bulk-buy on these counts.</v>
      </c>
      <c r="Q64" s="14" t="str">
        <v>Search (not exact)</v>
      </c>
      <c r="R64" s="33" t="str">
        <f>IF(AND(ISNUMBER(J64),ISNUMBER($B$7)),IF(J64=0,0,IF(ISNUMBER(L64),J64*L64*(1+$B$7),"")),"")</f>
      </c>
      <c r="S64" s="15" t="str">
        <v>No quote / exact selection pending</v>
      </c>
      <c r="T64" s="15" t="str">
        <v>No forecast; use contingency input</v>
      </c>
    </row>
    <row r="65" ht="48" customHeight="1">
      <c r="A65" s="15" t="str">
        <v>J8</v>
      </c>
      <c r="B65" s="15" t="str">
        <v>2199230-3</v>
      </c>
      <c r="C65" s="2" t="n">
        <v>1</v>
      </c>
      <c r="D65" s="29" t="str">
        <v>Yes</v>
      </c>
      <c r="E65" s="2" t="n">
        <f>IF(D65&lt;&gt;"Yes",0,IF(ISNUMBER($B$4),C65*$B$4,""))</f>
        <v>10</v>
      </c>
      <c r="F65" s="15" t="n">
        <f>IF(AND(ISNUMBER(E65),ISNUMBER($B$5),ISNUMBER($B$6)),IF(E65=0,0,ROUNDUP(E65*$B$5,0)+$B$6),"")</f>
        <v>3</v>
      </c>
      <c r="G65" s="2" t="n">
        <f>IF(AND(ISNUMBER(E65),ISNUMBER(F65)),E65+F65,"")</f>
        <v>13</v>
      </c>
      <c r="H65" s="29"/>
      <c r="I65" s="29"/>
      <c r="J65" s="2" t="str">
        <f>IF(AND(ISNUMBER(H65),ISNUMBER(I65)),MAX(0,G65-H65-I65),"")</f>
      </c>
      <c r="K65" s="31" t="str">
        <f>IF(ISNUMBER(G65),IF(G65=0,0,""),"")</f>
      </c>
      <c r="L65" s="32"/>
      <c r="M65" s="31" t="str">
        <f>IF(D65&lt;&gt;"Yes","",IF(ISNUMBER(L65),L65,IF(ISNUMBER(K65),K65,"")))</f>
      </c>
      <c r="N65" s="31" t="str">
        <f>IF(AND(ISNUMBER(G65),ISNUMBER(M65),ISNUMBER($B$7)),G65*M65*(1+$B$7),"")</f>
      </c>
      <c r="O65" s="15" t="str">
        <v>Not assessed</v>
      </c>
      <c r="P65" s="15" t="str">
        <v>Verify exact MPN, ratings, footprint and Rev B retention.</v>
      </c>
      <c r="Q65" s="14" t="str">
        <v>Search (not exact)</v>
      </c>
      <c r="R65" s="33" t="str">
        <f>IF(AND(ISNUMBER(J65),ISNUMBER($B$7)),IF(J65=0,0,IF(ISNUMBER(L65),J65*L65*(1+$B$7),"")),"")</f>
      </c>
      <c r="S65" s="15" t="str">
        <v>No quote / exact selection pending</v>
      </c>
      <c r="T65" s="15" t="str">
        <v>No forecast; use contingency input</v>
      </c>
    </row>
    <row r="66" ht="48" customHeight="1">
      <c r="A66" s="15" t="str">
        <v>C228, C31, C34, C32, C35, C37, C39, C33, C36, C38, C40</v>
      </c>
      <c r="B66" s="15" t="str">
        <v>220n</v>
      </c>
      <c r="C66" s="2" t="n">
        <v>11</v>
      </c>
      <c r="D66" s="29" t="str">
        <v>Yes</v>
      </c>
      <c r="E66" s="2" t="n">
        <f>IF(D66&lt;&gt;"Yes",0,IF(ISNUMBER($B$4),C66*$B$4,""))</f>
        <v>110</v>
      </c>
      <c r="F66" s="15" t="n">
        <f>IF(AND(ISNUMBER(E66),ISNUMBER($B$5),ISNUMBER($B$6)),IF(E66=0,0,ROUNDUP(E66*$B$5,0)+$B$6),"")</f>
        <v>13</v>
      </c>
      <c r="G66" s="2" t="n">
        <f>IF(AND(ISNUMBER(E66),ISNUMBER(F66)),E66+F66,"")</f>
        <v>123</v>
      </c>
      <c r="H66" s="29"/>
      <c r="I66" s="29"/>
      <c r="J66" s="2" t="str">
        <f>IF(AND(ISNUMBER(H66),ISNUMBER(I66)),MAX(0,G66-H66-I66),"")</f>
      </c>
      <c r="K66" s="31" t="str">
        <f>IF(ISNUMBER(G66),IF(G66=0,0,""),"")</f>
      </c>
      <c r="L66" s="32"/>
      <c r="M66" s="31" t="str">
        <f>IF(D66&lt;&gt;"Yes","",IF(ISNUMBER(L66),L66,IF(ISNUMBER(K66),K66,"")))</f>
      </c>
      <c r="N66" s="31" t="str">
        <f>IF(AND(ISNUMBER(G66),ISNUMBER(M66),ISNUMBER($B$7)),G66*M66*(1+$B$7),"")</f>
      </c>
      <c r="O66" s="15" t="str">
        <v>Not assessed</v>
      </c>
      <c r="P66" s="15" t="str">
        <v>Verify exact MPN, ratings, footprint and Rev B retention.</v>
      </c>
      <c r="Q66" s="14" t="str">
        <v>Search (not exact)</v>
      </c>
      <c r="R66" s="33" t="str">
        <f>IF(AND(ISNUMBER(J66),ISNUMBER($B$7)),IF(J66=0,0,IF(ISNUMBER(L66),J66*L66*(1+$B$7),"")),"")</f>
      </c>
      <c r="S66" s="15" t="str">
        <v>No quote / exact selection pending</v>
      </c>
      <c r="T66" s="15" t="str">
        <v>No forecast; use contingency input</v>
      </c>
    </row>
    <row r="67" ht="48" customHeight="1">
      <c r="A67" s="15" t="str">
        <v>C168</v>
      </c>
      <c r="B67" s="15" t="str">
        <v>220p</v>
      </c>
      <c r="C67" s="2" t="n">
        <v>1</v>
      </c>
      <c r="D67" s="29" t="str">
        <v>Yes</v>
      </c>
      <c r="E67" s="2" t="n">
        <f>IF(D67&lt;&gt;"Yes",0,IF(ISNUMBER($B$4),C67*$B$4,""))</f>
        <v>10</v>
      </c>
      <c r="F67" s="15" t="n">
        <f>IF(AND(ISNUMBER(E67),ISNUMBER($B$5),ISNUMBER($B$6)),IF(E67=0,0,ROUNDUP(E67*$B$5,0)+$B$6),"")</f>
        <v>3</v>
      </c>
      <c r="G67" s="2" t="n">
        <f>IF(AND(ISNUMBER(E67),ISNUMBER(F67)),E67+F67,"")</f>
        <v>13</v>
      </c>
      <c r="H67" s="29"/>
      <c r="I67" s="29"/>
      <c r="J67" s="2" t="str">
        <f>IF(AND(ISNUMBER(H67),ISNUMBER(I67)),MAX(0,G67-H67-I67),"")</f>
      </c>
      <c r="K67" s="31" t="str">
        <f>IF(ISNUMBER(G67),IF(G67=0,0,""),"")</f>
      </c>
      <c r="L67" s="32"/>
      <c r="M67" s="31" t="str">
        <f>IF(D67&lt;&gt;"Yes","",IF(ISNUMBER(L67),L67,IF(ISNUMBER(K67),K67,"")))</f>
      </c>
      <c r="N67" s="31" t="str">
        <f>IF(AND(ISNUMBER(G67),ISNUMBER(M67),ISNUMBER($B$7)),G67*M67*(1+$B$7),"")</f>
      </c>
      <c r="O67" s="15" t="str">
        <v>Not assessed</v>
      </c>
      <c r="P67" s="15" t="str">
        <v>Verify exact MPN, ratings, footprint and Rev B retention.</v>
      </c>
      <c r="Q67" s="14" t="str">
        <v>Search (not exact)</v>
      </c>
      <c r="R67" s="33" t="str">
        <f>IF(AND(ISNUMBER(J67),ISNUMBER($B$7)),IF(J67=0,0,IF(ISNUMBER(L67),J67*L67*(1+$B$7),"")),"")</f>
      </c>
      <c r="S67" s="15" t="str">
        <v>No quote / exact selection pending</v>
      </c>
      <c r="T67" s="15" t="str">
        <v>No forecast; use contingency input</v>
      </c>
    </row>
    <row r="68" ht="48" customHeight="1">
      <c r="A68" s="15" t="str">
        <v>C140, C141, C142, C143, C144, C145, C146, C147, C148, C149, C138, C137, C57, C29, C30, C196, C177, C81</v>
      </c>
      <c r="B68" s="15" t="str">
        <v>22u</v>
      </c>
      <c r="C68" s="2" t="n">
        <v>18</v>
      </c>
      <c r="D68" s="29" t="str">
        <v>Yes</v>
      </c>
      <c r="E68" s="2" t="n">
        <f>IF(D68&lt;&gt;"Yes",0,IF(ISNUMBER($B$4),C68*$B$4,""))</f>
        <v>180</v>
      </c>
      <c r="F68" s="15" t="n">
        <f>IF(AND(ISNUMBER(E68),ISNUMBER($B$5),ISNUMBER($B$6)),IF(E68=0,0,ROUNDUP(E68*$B$5,0)+$B$6),"")</f>
        <v>20</v>
      </c>
      <c r="G68" s="2" t="n">
        <f>IF(AND(ISNUMBER(E68),ISNUMBER(F68)),E68+F68,"")</f>
        <v>200</v>
      </c>
      <c r="H68" s="29"/>
      <c r="I68" s="29"/>
      <c r="J68" s="2" t="str">
        <f>IF(AND(ISNUMBER(H68),ISNUMBER(I68)),MAX(0,G68-H68-I68),"")</f>
      </c>
      <c r="K68" s="31" t="str">
        <f>IF(ISNUMBER(G68),IF(G68=0,0,""),"")</f>
      </c>
      <c r="L68" s="32"/>
      <c r="M68" s="31" t="str">
        <f>IF(D68&lt;&gt;"Yes","",IF(ISNUMBER(L68),L68,IF(ISNUMBER(K68),K68,"")))</f>
      </c>
      <c r="N68" s="31" t="str">
        <f>IF(AND(ISNUMBER(G68),ISNUMBER(M68),ISNUMBER($B$7)),G68*M68*(1+$B$7),"")</f>
      </c>
      <c r="O68" s="15" t="str">
        <v>Not assessed</v>
      </c>
      <c r="P68" s="15" t="str">
        <v>Old power architecture: Rev B replacement planned; do not bulk-buy on these counts.</v>
      </c>
      <c r="Q68" s="14" t="str">
        <v>Search (not exact)</v>
      </c>
      <c r="R68" s="33" t="str">
        <f>IF(AND(ISNUMBER(J68),ISNUMBER($B$7)),IF(J68=0,0,IF(ISNUMBER(L68),J68*L68*(1+$B$7),"")),"")</f>
      </c>
      <c r="S68" s="15" t="str">
        <v>No quote / exact selection pending</v>
      </c>
      <c r="T68" s="15" t="str">
        <v>No forecast; use contingency input</v>
      </c>
    </row>
    <row r="69" ht="48" customHeight="1">
      <c r="A69" s="15" t="str">
        <v>J7, J6</v>
      </c>
      <c r="B69" s="15" t="str">
        <v>2337992-8</v>
      </c>
      <c r="C69" s="2" t="n">
        <v>2</v>
      </c>
      <c r="D69" s="29" t="str">
        <v>Yes</v>
      </c>
      <c r="E69" s="2" t="n">
        <f>IF(D69&lt;&gt;"Yes",0,IF(ISNUMBER($B$4),C69*$B$4,""))</f>
        <v>20</v>
      </c>
      <c r="F69" s="15" t="n">
        <f>IF(AND(ISNUMBER(E69),ISNUMBER($B$5),ISNUMBER($B$6)),IF(E69=0,0,ROUNDUP(E69*$B$5,0)+$B$6),"")</f>
        <v>4</v>
      </c>
      <c r="G69" s="2" t="n">
        <f>IF(AND(ISNUMBER(E69),ISNUMBER(F69)),E69+F69,"")</f>
        <v>24</v>
      </c>
      <c r="H69" s="29"/>
      <c r="I69" s="29"/>
      <c r="J69" s="2" t="str">
        <f>IF(AND(ISNUMBER(H69),ISNUMBER(I69)),MAX(0,G69-H69-I69),"")</f>
      </c>
      <c r="K69" s="31" t="str">
        <f>IF(ISNUMBER(G69),IF(G69=0,0,""),"")</f>
      </c>
      <c r="L69" s="32"/>
      <c r="M69" s="31" t="str">
        <f>IF(D69&lt;&gt;"Yes","",IF(ISNUMBER(L69),L69,IF(ISNUMBER(K69),K69,"")))</f>
      </c>
      <c r="N69" s="31" t="str">
        <f>IF(AND(ISNUMBER(G69),ISNUMBER(M69),ISNUMBER($B$7)),G69*M69*(1+$B$7),"")</f>
      </c>
      <c r="O69" s="15" t="str">
        <v>Not assessed</v>
      </c>
      <c r="P69" s="15" t="str">
        <v>Verify exact MPN, ratings, footprint and Rev B retention.</v>
      </c>
      <c r="Q69" s="14" t="str">
        <v>Search (not exact)</v>
      </c>
      <c r="R69" s="33" t="str">
        <f>IF(AND(ISNUMBER(J69),ISNUMBER($B$7)),IF(J69=0,0,IF(ISNUMBER(L69),J69*L69*(1+$B$7),"")),"")</f>
      </c>
      <c r="S69" s="15" t="str">
        <v>No quote / exact selection pending</v>
      </c>
      <c r="T69" s="15" t="str">
        <v>No forecast; use contingency input</v>
      </c>
    </row>
    <row r="70" ht="48" customHeight="1">
      <c r="A70" s="15" t="str">
        <v>R61, R65, R70, R63, R67, R71</v>
      </c>
      <c r="B70" s="15" t="str">
        <v>24k</v>
      </c>
      <c r="C70" s="2" t="n">
        <v>6</v>
      </c>
      <c r="D70" s="29" t="str">
        <v>Yes</v>
      </c>
      <c r="E70" s="2" t="n">
        <f>IF(D70&lt;&gt;"Yes",0,IF(ISNUMBER($B$4),C70*$B$4,""))</f>
        <v>60</v>
      </c>
      <c r="F70" s="15" t="n">
        <f>IF(AND(ISNUMBER(E70),ISNUMBER($B$5),ISNUMBER($B$6)),IF(E70=0,0,ROUNDUP(E70*$B$5,0)+$B$6),"")</f>
        <v>8</v>
      </c>
      <c r="G70" s="2" t="n">
        <f>IF(AND(ISNUMBER(E70),ISNUMBER(F70)),E70+F70,"")</f>
        <v>68</v>
      </c>
      <c r="H70" s="29"/>
      <c r="I70" s="29"/>
      <c r="J70" s="2" t="str">
        <f>IF(AND(ISNUMBER(H70),ISNUMBER(I70)),MAX(0,G70-H70-I70),"")</f>
      </c>
      <c r="K70" s="31" t="str">
        <f>IF(ISNUMBER(G70),IF(G70=0,0,""),"")</f>
      </c>
      <c r="L70" s="32"/>
      <c r="M70" s="31" t="str">
        <f>IF(D70&lt;&gt;"Yes","",IF(ISNUMBER(L70),L70,IF(ISNUMBER(K70),K70,"")))</f>
      </c>
      <c r="N70" s="31" t="str">
        <f>IF(AND(ISNUMBER(G70),ISNUMBER(M70),ISNUMBER($B$7)),G70*M70*(1+$B$7),"")</f>
      </c>
      <c r="O70" s="15" t="str">
        <v>Not assessed</v>
      </c>
      <c r="P70" s="15" t="str">
        <v>Old power architecture: Rev B replacement planned; do not bulk-buy on these counts.</v>
      </c>
      <c r="Q70" s="14" t="str">
        <v>Search (not exact)</v>
      </c>
      <c r="R70" s="33" t="str">
        <f>IF(AND(ISNUMBER(J70),ISNUMBER($B$7)),IF(J70=0,0,IF(ISNUMBER(L70),J70*L70*(1+$B$7),"")),"")</f>
      </c>
      <c r="S70" s="15" t="str">
        <v>No quote / exact selection pending</v>
      </c>
      <c r="T70" s="15" t="str">
        <v>No forecast; use contingency input</v>
      </c>
    </row>
    <row r="71" ht="48" customHeight="1">
      <c r="A71" s="15" t="str">
        <v>R53</v>
      </c>
      <c r="B71" s="15" t="str">
        <v>270</v>
      </c>
      <c r="C71" s="2" t="n">
        <v>1</v>
      </c>
      <c r="D71" s="29" t="str">
        <v>Yes</v>
      </c>
      <c r="E71" s="2" t="n">
        <f>IF(D71&lt;&gt;"Yes",0,IF(ISNUMBER($B$4),C71*$B$4,""))</f>
        <v>10</v>
      </c>
      <c r="F71" s="15" t="n">
        <f>IF(AND(ISNUMBER(E71),ISNUMBER($B$5),ISNUMBER($B$6)),IF(E71=0,0,ROUNDUP(E71*$B$5,0)+$B$6),"")</f>
        <v>3</v>
      </c>
      <c r="G71" s="2" t="n">
        <f>IF(AND(ISNUMBER(E71),ISNUMBER(F71)),E71+F71,"")</f>
        <v>13</v>
      </c>
      <c r="H71" s="29"/>
      <c r="I71" s="29"/>
      <c r="J71" s="2" t="str">
        <f>IF(AND(ISNUMBER(H71),ISNUMBER(I71)),MAX(0,G71-H71-I71),"")</f>
      </c>
      <c r="K71" s="31" t="str">
        <f>IF(ISNUMBER(G71),IF(G71=0,0,""),"")</f>
      </c>
      <c r="L71" s="32"/>
      <c r="M71" s="31" t="str">
        <f>IF(D71&lt;&gt;"Yes","",IF(ISNUMBER(L71),L71,IF(ISNUMBER(K71),K71,"")))</f>
      </c>
      <c r="N71" s="31" t="str">
        <f>IF(AND(ISNUMBER(G71),ISNUMBER(M71),ISNUMBER($B$7)),G71*M71*(1+$B$7),"")</f>
      </c>
      <c r="O71" s="15" t="str">
        <v>Not assessed</v>
      </c>
      <c r="P71" s="15" t="str">
        <v>Verify exact MPN, ratings, footprint and Rev B retention.</v>
      </c>
      <c r="Q71" s="14" t="str">
        <v>Search (not exact)</v>
      </c>
      <c r="R71" s="33" t="str">
        <f>IF(AND(ISNUMBER(J71),ISNUMBER($B$7)),IF(J71=0,0,IF(ISNUMBER(L71),J71*L71*(1+$B$7),"")),"")</f>
      </c>
      <c r="S71" s="15" t="str">
        <v>No quote / exact selection pending</v>
      </c>
      <c r="T71" s="15" t="str">
        <v>No forecast; use contingency input</v>
      </c>
    </row>
    <row r="72" ht="48" customHeight="1">
      <c r="A72" s="15" t="str">
        <v>C182</v>
      </c>
      <c r="B72" s="15" t="str">
        <v>27p</v>
      </c>
      <c r="C72" s="2" t="n">
        <v>1</v>
      </c>
      <c r="D72" s="29" t="str">
        <v>Yes</v>
      </c>
      <c r="E72" s="2" t="n">
        <f>IF(D72&lt;&gt;"Yes",0,IF(ISNUMBER($B$4),C72*$B$4,""))</f>
        <v>10</v>
      </c>
      <c r="F72" s="15" t="n">
        <f>IF(AND(ISNUMBER(E72),ISNUMBER($B$5),ISNUMBER($B$6)),IF(E72=0,0,ROUNDUP(E72*$B$5,0)+$B$6),"")</f>
        <v>3</v>
      </c>
      <c r="G72" s="2" t="n">
        <f>IF(AND(ISNUMBER(E72),ISNUMBER(F72)),E72+F72,"")</f>
        <v>13</v>
      </c>
      <c r="H72" s="29"/>
      <c r="I72" s="29"/>
      <c r="J72" s="2" t="str">
        <f>IF(AND(ISNUMBER(H72),ISNUMBER(I72)),MAX(0,G72-H72-I72),"")</f>
      </c>
      <c r="K72" s="31" t="str">
        <f>IF(ISNUMBER(G72),IF(G72=0,0,""),"")</f>
      </c>
      <c r="L72" s="32"/>
      <c r="M72" s="31" t="str">
        <f>IF(D72&lt;&gt;"Yes","",IF(ISNUMBER(L72),L72,IF(ISNUMBER(K72),K72,"")))</f>
      </c>
      <c r="N72" s="31" t="str">
        <f>IF(AND(ISNUMBER(G72),ISNUMBER(M72),ISNUMBER($B$7)),G72*M72*(1+$B$7),"")</f>
      </c>
      <c r="O72" s="15" t="str">
        <v>Not assessed</v>
      </c>
      <c r="P72" s="15" t="str">
        <v>Verify exact MPN, ratings, footprint and Rev B retention.</v>
      </c>
      <c r="Q72" s="14" t="str">
        <v>Search (not exact)</v>
      </c>
      <c r="R72" s="33" t="str">
        <f>IF(AND(ISNUMBER(J72),ISNUMBER($B$7)),IF(J72=0,0,IF(ISNUMBER(L72),J72*L72*(1+$B$7),"")),"")</f>
      </c>
      <c r="S72" s="15" t="str">
        <v>No quote / exact selection pending</v>
      </c>
      <c r="T72" s="15" t="str">
        <v>No forecast; use contingency input</v>
      </c>
    </row>
    <row r="73" ht="48" customHeight="1">
      <c r="A73" s="15" t="str">
        <v>R22</v>
      </c>
      <c r="B73" s="15" t="str">
        <v>2k</v>
      </c>
      <c r="C73" s="2" t="n">
        <v>1</v>
      </c>
      <c r="D73" s="29" t="str">
        <v>Yes</v>
      </c>
      <c r="E73" s="2" t="n">
        <f>IF(D73&lt;&gt;"Yes",0,IF(ISNUMBER($B$4),C73*$B$4,""))</f>
        <v>10</v>
      </c>
      <c r="F73" s="15" t="n">
        <f>IF(AND(ISNUMBER(E73),ISNUMBER($B$5),ISNUMBER($B$6)),IF(E73=0,0,ROUNDUP(E73*$B$5,0)+$B$6),"")</f>
        <v>3</v>
      </c>
      <c r="G73" s="2" t="n">
        <f>IF(AND(ISNUMBER(E73),ISNUMBER(F73)),E73+F73,"")</f>
        <v>13</v>
      </c>
      <c r="H73" s="29"/>
      <c r="I73" s="29"/>
      <c r="J73" s="2" t="str">
        <f>IF(AND(ISNUMBER(H73),ISNUMBER(I73)),MAX(0,G73-H73-I73),"")</f>
      </c>
      <c r="K73" s="31" t="str">
        <f>IF(ISNUMBER(G73),IF(G73=0,0,""),"")</f>
      </c>
      <c r="L73" s="32"/>
      <c r="M73" s="31" t="str">
        <f>IF(D73&lt;&gt;"Yes","",IF(ISNUMBER(L73),L73,IF(ISNUMBER(K73),K73,"")))</f>
      </c>
      <c r="N73" s="31" t="str">
        <f>IF(AND(ISNUMBER(G73),ISNUMBER(M73),ISNUMBER($B$7)),G73*M73*(1+$B$7),"")</f>
      </c>
      <c r="O73" s="15" t="str">
        <v>Not assessed</v>
      </c>
      <c r="P73" s="15" t="str">
        <v>Verify exact MPN, ratings, footprint and Rev B retention.</v>
      </c>
      <c r="Q73" s="14" t="str">
        <v>Search (not exact)</v>
      </c>
      <c r="R73" s="33" t="str">
        <f>IF(AND(ISNUMBER(J73),ISNUMBER($B$7)),IF(J73=0,0,IF(ISNUMBER(L73),J73*L73*(1+$B$7),"")),"")</f>
      </c>
      <c r="S73" s="15" t="str">
        <v>No quote / exact selection pending</v>
      </c>
      <c r="T73" s="15" t="str">
        <v>No forecast; use contingency input</v>
      </c>
    </row>
    <row r="74" ht="48" customHeight="1">
      <c r="A74" s="15" t="str">
        <v>R78, R46, R11, R12, R3</v>
      </c>
      <c r="B74" s="15" t="str">
        <v>2k2</v>
      </c>
      <c r="C74" s="2" t="n">
        <v>5</v>
      </c>
      <c r="D74" s="29" t="str">
        <v>Yes</v>
      </c>
      <c r="E74" s="2" t="n">
        <f>IF(D74&lt;&gt;"Yes",0,IF(ISNUMBER($B$4),C74*$B$4,""))</f>
        <v>50</v>
      </c>
      <c r="F74" s="15" t="n">
        <f>IF(AND(ISNUMBER(E74),ISNUMBER($B$5),ISNUMBER($B$6)),IF(E74=0,0,ROUNDUP(E74*$B$5,0)+$B$6),"")</f>
        <v>7</v>
      </c>
      <c r="G74" s="2" t="n">
        <f>IF(AND(ISNUMBER(E74),ISNUMBER(F74)),E74+F74,"")</f>
        <v>57</v>
      </c>
      <c r="H74" s="29"/>
      <c r="I74" s="29"/>
      <c r="J74" s="2" t="str">
        <f>IF(AND(ISNUMBER(H74),ISNUMBER(I74)),MAX(0,G74-H74-I74),"")</f>
      </c>
      <c r="K74" s="31" t="str">
        <f>IF(ISNUMBER(G74),IF(G74=0,0,""),"")</f>
      </c>
      <c r="L74" s="32"/>
      <c r="M74" s="31" t="str">
        <f>IF(D74&lt;&gt;"Yes","",IF(ISNUMBER(L74),L74,IF(ISNUMBER(K74),K74,"")))</f>
      </c>
      <c r="N74" s="31" t="str">
        <f>IF(AND(ISNUMBER(G74),ISNUMBER(M74),ISNUMBER($B$7)),G74*M74*(1+$B$7),"")</f>
      </c>
      <c r="O74" s="15" t="str">
        <v>Not assessed</v>
      </c>
      <c r="P74" s="15" t="str">
        <v>Old power architecture: Rev B replacement planned; do not bulk-buy on these counts.</v>
      </c>
      <c r="Q74" s="14" t="str">
        <v>Search (not exact)</v>
      </c>
      <c r="R74" s="33" t="str">
        <f>IF(AND(ISNUMBER(J74),ISNUMBER($B$7)),IF(J74=0,0,IF(ISNUMBER(L74),J74*L74*(1+$B$7),"")),"")</f>
      </c>
      <c r="S74" s="15" t="str">
        <v>No quote / exact selection pending</v>
      </c>
      <c r="T74" s="15" t="str">
        <v>No forecast; use contingency input</v>
      </c>
    </row>
    <row r="75" ht="48" customHeight="1">
      <c r="A75" s="15" t="str">
        <v>C96, C97, C222, C219, C230, C225, C233</v>
      </c>
      <c r="B75" s="15" t="str">
        <v>2u2</v>
      </c>
      <c r="C75" s="2" t="n">
        <v>7</v>
      </c>
      <c r="D75" s="29" t="str">
        <v>Yes</v>
      </c>
      <c r="E75" s="2" t="n">
        <f>IF(D75&lt;&gt;"Yes",0,IF(ISNUMBER($B$4),C75*$B$4,""))</f>
        <v>70</v>
      </c>
      <c r="F75" s="15" t="n">
        <f>IF(AND(ISNUMBER(E75),ISNUMBER($B$5),ISNUMBER($B$6)),IF(E75=0,0,ROUNDUP(E75*$B$5,0)+$B$6),"")</f>
        <v>9</v>
      </c>
      <c r="G75" s="2" t="n">
        <f>IF(AND(ISNUMBER(E75),ISNUMBER(F75)),E75+F75,"")</f>
        <v>79</v>
      </c>
      <c r="H75" s="29"/>
      <c r="I75" s="29"/>
      <c r="J75" s="2" t="str">
        <f>IF(AND(ISNUMBER(H75),ISNUMBER(I75)),MAX(0,G75-H75-I75),"")</f>
      </c>
      <c r="K75" s="31" t="str">
        <f>IF(ISNUMBER(G75),IF(G75=0,0,""),"")</f>
      </c>
      <c r="L75" s="32"/>
      <c r="M75" s="31" t="str">
        <f>IF(D75&lt;&gt;"Yes","",IF(ISNUMBER(L75),L75,IF(ISNUMBER(K75),K75,"")))</f>
      </c>
      <c r="N75" s="31" t="str">
        <f>IF(AND(ISNUMBER(G75),ISNUMBER(M75),ISNUMBER($B$7)),G75*M75*(1+$B$7),"")</f>
      </c>
      <c r="O75" s="15" t="str">
        <v>Not assessed</v>
      </c>
      <c r="P75" s="15" t="str">
        <v>Verify exact MPN, ratings, footprint and Rev B retention.</v>
      </c>
      <c r="Q75" s="14" t="str">
        <v>Search (not exact)</v>
      </c>
      <c r="R75" s="33" t="str">
        <f>IF(AND(ISNUMBER(J75),ISNUMBER($B$7)),IF(J75=0,0,IF(ISNUMBER(L75),J75*L75*(1+$B$7),"")),"")</f>
      </c>
      <c r="S75" s="15" t="str">
        <v>No quote / exact selection pending</v>
      </c>
      <c r="T75" s="15" t="str">
        <v>No forecast; use contingency input</v>
      </c>
    </row>
    <row r="76" ht="48" customHeight="1">
      <c r="A76" s="15" t="str">
        <v>R13</v>
      </c>
      <c r="B76" s="15" t="str">
        <v>30k</v>
      </c>
      <c r="C76" s="2" t="n">
        <v>1</v>
      </c>
      <c r="D76" s="29" t="str">
        <v>Yes</v>
      </c>
      <c r="E76" s="2" t="n">
        <f>IF(D76&lt;&gt;"Yes",0,IF(ISNUMBER($B$4),C76*$B$4,""))</f>
        <v>10</v>
      </c>
      <c r="F76" s="15" t="n">
        <f>IF(AND(ISNUMBER(E76),ISNUMBER($B$5),ISNUMBER($B$6)),IF(E76=0,0,ROUNDUP(E76*$B$5,0)+$B$6),"")</f>
        <v>3</v>
      </c>
      <c r="G76" s="2" t="n">
        <f>IF(AND(ISNUMBER(E76),ISNUMBER(F76)),E76+F76,"")</f>
        <v>13</v>
      </c>
      <c r="H76" s="29"/>
      <c r="I76" s="29"/>
      <c r="J76" s="2" t="str">
        <f>IF(AND(ISNUMBER(H76),ISNUMBER(I76)),MAX(0,G76-H76-I76),"")</f>
      </c>
      <c r="K76" s="31" t="str">
        <f>IF(ISNUMBER(G76),IF(G76=0,0,""),"")</f>
      </c>
      <c r="L76" s="32"/>
      <c r="M76" s="31" t="str">
        <f>IF(D76&lt;&gt;"Yes","",IF(ISNUMBER(L76),L76,IF(ISNUMBER(K76),K76,"")))</f>
      </c>
      <c r="N76" s="31" t="str">
        <f>IF(AND(ISNUMBER(G76),ISNUMBER(M76),ISNUMBER($B$7)),G76*M76*(1+$B$7),"")</f>
      </c>
      <c r="O76" s="15" t="str">
        <v>Not assessed</v>
      </c>
      <c r="P76" s="15" t="str">
        <v>Old power architecture: Rev B replacement planned; do not bulk-buy on these counts.</v>
      </c>
      <c r="Q76" s="14" t="str">
        <v>Search (not exact)</v>
      </c>
      <c r="R76" s="33" t="str">
        <f>IF(AND(ISNUMBER(J76),ISNUMBER($B$7)),IF(J76=0,0,IF(ISNUMBER(L76),J76*L76*(1+$B$7),"")),"")</f>
      </c>
      <c r="S76" s="15" t="str">
        <v>No quote / exact selection pending</v>
      </c>
      <c r="T76" s="15" t="str">
        <v>No forecast; use contingency input</v>
      </c>
    </row>
    <row r="77" ht="48" customHeight="1">
      <c r="A77" s="15" t="str">
        <v>R10</v>
      </c>
      <c r="B77" s="15" t="str">
        <v>330k</v>
      </c>
      <c r="C77" s="2" t="n">
        <v>1</v>
      </c>
      <c r="D77" s="29" t="str">
        <v>Yes</v>
      </c>
      <c r="E77" s="2" t="n">
        <f>IF(D77&lt;&gt;"Yes",0,IF(ISNUMBER($B$4),C77*$B$4,""))</f>
        <v>10</v>
      </c>
      <c r="F77" s="15" t="n">
        <f>IF(AND(ISNUMBER(E77),ISNUMBER($B$5),ISNUMBER($B$6)),IF(E77=0,0,ROUNDUP(E77*$B$5,0)+$B$6),"")</f>
        <v>3</v>
      </c>
      <c r="G77" s="2" t="n">
        <f>IF(AND(ISNUMBER(E77),ISNUMBER(F77)),E77+F77,"")</f>
        <v>13</v>
      </c>
      <c r="H77" s="29"/>
      <c r="I77" s="29"/>
      <c r="J77" s="2" t="str">
        <f>IF(AND(ISNUMBER(H77),ISNUMBER(I77)),MAX(0,G77-H77-I77),"")</f>
      </c>
      <c r="K77" s="31" t="str">
        <f>IF(ISNUMBER(G77),IF(G77=0,0,""),"")</f>
      </c>
      <c r="L77" s="32"/>
      <c r="M77" s="31" t="str">
        <f>IF(D77&lt;&gt;"Yes","",IF(ISNUMBER(L77),L77,IF(ISNUMBER(K77),K77,"")))</f>
      </c>
      <c r="N77" s="31" t="str">
        <f>IF(AND(ISNUMBER(G77),ISNUMBER(M77),ISNUMBER($B$7)),G77*M77*(1+$B$7),"")</f>
      </c>
      <c r="O77" s="15" t="str">
        <v>Not assessed</v>
      </c>
      <c r="P77" s="15" t="str">
        <v>Old power architecture: Rev B replacement planned; do not bulk-buy on these counts.</v>
      </c>
      <c r="Q77" s="14" t="str">
        <v>Search (not exact)</v>
      </c>
      <c r="R77" s="33" t="str">
        <f>IF(AND(ISNUMBER(J77),ISNUMBER($B$7)),IF(J77=0,0,IF(ISNUMBER(L77),J77*L77*(1+$B$7),"")),"")</f>
      </c>
      <c r="S77" s="15" t="str">
        <v>No quote / exact selection pending</v>
      </c>
      <c r="T77" s="15" t="str">
        <v>No forecast; use contingency input</v>
      </c>
    </row>
    <row r="78" ht="48" customHeight="1">
      <c r="A78" s="15" t="str">
        <v>C202, C205</v>
      </c>
      <c r="B78" s="15" t="str">
        <v>330p</v>
      </c>
      <c r="C78" s="2" t="n">
        <v>2</v>
      </c>
      <c r="D78" s="29" t="str">
        <v>Yes</v>
      </c>
      <c r="E78" s="2" t="n">
        <f>IF(D78&lt;&gt;"Yes",0,IF(ISNUMBER($B$4),C78*$B$4,""))</f>
        <v>20</v>
      </c>
      <c r="F78" s="15" t="n">
        <f>IF(AND(ISNUMBER(E78),ISNUMBER($B$5),ISNUMBER($B$6)),IF(E78=0,0,ROUNDUP(E78*$B$5,0)+$B$6),"")</f>
        <v>4</v>
      </c>
      <c r="G78" s="2" t="n">
        <f>IF(AND(ISNUMBER(E78),ISNUMBER(F78)),E78+F78,"")</f>
        <v>24</v>
      </c>
      <c r="H78" s="29"/>
      <c r="I78" s="29"/>
      <c r="J78" s="2" t="str">
        <f>IF(AND(ISNUMBER(H78),ISNUMBER(I78)),MAX(0,G78-H78-I78),"")</f>
      </c>
      <c r="K78" s="31" t="str">
        <f>IF(ISNUMBER(G78),IF(G78=0,0,""),"")</f>
      </c>
      <c r="L78" s="32"/>
      <c r="M78" s="31" t="str">
        <f>IF(D78&lt;&gt;"Yes","",IF(ISNUMBER(L78),L78,IF(ISNUMBER(K78),K78,"")))</f>
      </c>
      <c r="N78" s="31" t="str">
        <f>IF(AND(ISNUMBER(G78),ISNUMBER(M78),ISNUMBER($B$7)),G78*M78*(1+$B$7),"")</f>
      </c>
      <c r="O78" s="15" t="str">
        <v>Not assessed</v>
      </c>
      <c r="P78" s="15" t="str">
        <v>Verify exact MPN, ratings, footprint and Rev B retention.</v>
      </c>
      <c r="Q78" s="14" t="str">
        <v>Search (not exact)</v>
      </c>
      <c r="R78" s="33" t="str">
        <f>IF(AND(ISNUMBER(J78),ISNUMBER($B$7)),IF(J78=0,0,IF(ISNUMBER(L78),J78*L78*(1+$B$7),"")),"")</f>
      </c>
      <c r="S78" s="15" t="str">
        <v>No quote / exact selection pending</v>
      </c>
      <c r="T78" s="15" t="str">
        <v>No forecast; use contingency input</v>
      </c>
    </row>
    <row r="79" ht="48" customHeight="1">
      <c r="A79" s="15" t="str">
        <v>H2, H3</v>
      </c>
      <c r="B79" s="15" t="str">
        <v>36103255S</v>
      </c>
      <c r="C79" s="2" t="n">
        <v>2</v>
      </c>
      <c r="D79" s="29" t="str">
        <v>Yes</v>
      </c>
      <c r="E79" s="2" t="n">
        <f>IF(D79&lt;&gt;"Yes",0,IF(ISNUMBER($B$4),C79*$B$4,""))</f>
        <v>20</v>
      </c>
      <c r="F79" s="15" t="n">
        <f>IF(AND(ISNUMBER(E79),ISNUMBER($B$5),ISNUMBER($B$6)),IF(E79=0,0,ROUNDUP(E79*$B$5,0)+$B$6),"")</f>
        <v>4</v>
      </c>
      <c r="G79" s="2" t="n">
        <f>IF(AND(ISNUMBER(E79),ISNUMBER(F79)),E79+F79,"")</f>
        <v>24</v>
      </c>
      <c r="H79" s="29"/>
      <c r="I79" s="29"/>
      <c r="J79" s="2" t="str">
        <f>IF(AND(ISNUMBER(H79),ISNUMBER(I79)),MAX(0,G79-H79-I79),"")</f>
      </c>
      <c r="K79" s="31" t="str">
        <f>IF(ISNUMBER(G79),IF(G79=0,0,""),"")</f>
      </c>
      <c r="L79" s="32"/>
      <c r="M79" s="31" t="str">
        <f>IF(D79&lt;&gt;"Yes","",IF(ISNUMBER(L79),L79,IF(ISNUMBER(K79),K79,"")))</f>
      </c>
      <c r="N79" s="31" t="str">
        <f>IF(AND(ISNUMBER(G79),ISNUMBER(M79),ISNUMBER($B$7)),G79*M79*(1+$B$7),"")</f>
      </c>
      <c r="O79" s="15" t="str">
        <v>Not assessed</v>
      </c>
      <c r="P79" s="15" t="str">
        <v>Verify exact MPN, ratings, footprint and Rev B retention.</v>
      </c>
      <c r="Q79" s="14" t="str">
        <v>Search (not exact)</v>
      </c>
      <c r="R79" s="33" t="str">
        <f>IF(AND(ISNUMBER(J79),ISNUMBER($B$7)),IF(J79=0,0,IF(ISNUMBER(L79),J79*L79*(1+$B$7),"")),"")</f>
      </c>
      <c r="S79" s="15" t="str">
        <v>No quote / exact selection pending</v>
      </c>
      <c r="T79" s="15" t="str">
        <v>No forecast; use contingency input</v>
      </c>
    </row>
    <row r="80" ht="48" customHeight="1">
      <c r="A80" s="15" t="str">
        <v>R58, R59</v>
      </c>
      <c r="B80" s="15" t="str">
        <v>470k</v>
      </c>
      <c r="C80" s="2" t="n">
        <v>2</v>
      </c>
      <c r="D80" s="29" t="str">
        <v>Yes</v>
      </c>
      <c r="E80" s="2" t="n">
        <f>IF(D80&lt;&gt;"Yes",0,IF(ISNUMBER($B$4),C80*$B$4,""))</f>
        <v>20</v>
      </c>
      <c r="F80" s="15" t="n">
        <f>IF(AND(ISNUMBER(E80),ISNUMBER($B$5),ISNUMBER($B$6)),IF(E80=0,0,ROUNDUP(E80*$B$5,0)+$B$6),"")</f>
        <v>4</v>
      </c>
      <c r="G80" s="2" t="n">
        <f>IF(AND(ISNUMBER(E80),ISNUMBER(F80)),E80+F80,"")</f>
        <v>24</v>
      </c>
      <c r="H80" s="29"/>
      <c r="I80" s="29"/>
      <c r="J80" s="2" t="str">
        <f>IF(AND(ISNUMBER(H80),ISNUMBER(I80)),MAX(0,G80-H80-I80),"")</f>
      </c>
      <c r="K80" s="31" t="str">
        <f>IF(ISNUMBER(G80),IF(G80=0,0,""),"")</f>
      </c>
      <c r="L80" s="32"/>
      <c r="M80" s="31" t="str">
        <f>IF(D80&lt;&gt;"Yes","",IF(ISNUMBER(L80),L80,IF(ISNUMBER(K80),K80,"")))</f>
      </c>
      <c r="N80" s="31" t="str">
        <f>IF(AND(ISNUMBER(G80),ISNUMBER(M80),ISNUMBER($B$7)),G80*M80*(1+$B$7),"")</f>
      </c>
      <c r="O80" s="15" t="str">
        <v>Not assessed</v>
      </c>
      <c r="P80" s="15" t="str">
        <v>Old power architecture: Rev B replacement planned; do not bulk-buy on these counts.</v>
      </c>
      <c r="Q80" s="14" t="str">
        <v>Search (not exact)</v>
      </c>
      <c r="R80" s="33" t="str">
        <f>IF(AND(ISNUMBER(J80),ISNUMBER($B$7)),IF(J80=0,0,IF(ISNUMBER(L80),J80*L80*(1+$B$7),"")),"")</f>
      </c>
      <c r="S80" s="15" t="str">
        <v>No quote / exact selection pending</v>
      </c>
      <c r="T80" s="15" t="str">
        <v>No forecast; use contingency input</v>
      </c>
    </row>
    <row r="81" ht="48" customHeight="1">
      <c r="A81" s="15" t="str">
        <v>C172</v>
      </c>
      <c r="B81" s="15" t="str">
        <v>470n</v>
      </c>
      <c r="C81" s="2" t="n">
        <v>1</v>
      </c>
      <c r="D81" s="29" t="str">
        <v>Yes</v>
      </c>
      <c r="E81" s="2" t="n">
        <f>IF(D81&lt;&gt;"Yes",0,IF(ISNUMBER($B$4),C81*$B$4,""))</f>
        <v>10</v>
      </c>
      <c r="F81" s="15" t="n">
        <f>IF(AND(ISNUMBER(E81),ISNUMBER($B$5),ISNUMBER($B$6)),IF(E81=0,0,ROUNDUP(E81*$B$5,0)+$B$6),"")</f>
        <v>3</v>
      </c>
      <c r="G81" s="2" t="n">
        <f>IF(AND(ISNUMBER(E81),ISNUMBER(F81)),E81+F81,"")</f>
        <v>13</v>
      </c>
      <c r="H81" s="29"/>
      <c r="I81" s="29"/>
      <c r="J81" s="2" t="str">
        <f>IF(AND(ISNUMBER(H81),ISNUMBER(I81)),MAX(0,G81-H81-I81),"")</f>
      </c>
      <c r="K81" s="31" t="str">
        <f>IF(ISNUMBER(G81),IF(G81=0,0,""),"")</f>
      </c>
      <c r="L81" s="32"/>
      <c r="M81" s="31" t="str">
        <f>IF(D81&lt;&gt;"Yes","",IF(ISNUMBER(L81),L81,IF(ISNUMBER(K81),K81,"")))</f>
      </c>
      <c r="N81" s="31" t="str">
        <f>IF(AND(ISNUMBER(G81),ISNUMBER(M81),ISNUMBER($B$7)),G81*M81*(1+$B$7),"")</f>
      </c>
      <c r="O81" s="15" t="str">
        <v>Not assessed</v>
      </c>
      <c r="P81" s="15" t="str">
        <v>Verify exact MPN, ratings, footprint and Rev B retention.</v>
      </c>
      <c r="Q81" s="14" t="str">
        <v>Search (not exact)</v>
      </c>
      <c r="R81" s="33" t="str">
        <f>IF(AND(ISNUMBER(J81),ISNUMBER($B$7)),IF(J81=0,0,IF(ISNUMBER(L81),J81*L81*(1+$B$7),"")),"")</f>
      </c>
      <c r="S81" s="15" t="str">
        <v>No quote / exact selection pending</v>
      </c>
      <c r="T81" s="15" t="str">
        <v>No forecast; use contingency input</v>
      </c>
    </row>
    <row r="82" ht="48" customHeight="1">
      <c r="A82" s="15" t="str">
        <v>R60, R62</v>
      </c>
      <c r="B82" s="15" t="str">
        <v>47k</v>
      </c>
      <c r="C82" s="2" t="n">
        <v>2</v>
      </c>
      <c r="D82" s="29" t="str">
        <v>Yes</v>
      </c>
      <c r="E82" s="2" t="n">
        <f>IF(D82&lt;&gt;"Yes",0,IF(ISNUMBER($B$4),C82*$B$4,""))</f>
        <v>20</v>
      </c>
      <c r="F82" s="15" t="n">
        <f>IF(AND(ISNUMBER(E82),ISNUMBER($B$5),ISNUMBER($B$6)),IF(E82=0,0,ROUNDUP(E82*$B$5,0)+$B$6),"")</f>
        <v>4</v>
      </c>
      <c r="G82" s="2" t="n">
        <f>IF(AND(ISNUMBER(E82),ISNUMBER(F82)),E82+F82,"")</f>
        <v>24</v>
      </c>
      <c r="H82" s="29"/>
      <c r="I82" s="29"/>
      <c r="J82" s="2" t="str">
        <f>IF(AND(ISNUMBER(H82),ISNUMBER(I82)),MAX(0,G82-H82-I82),"")</f>
      </c>
      <c r="K82" s="31" t="str">
        <f>IF(ISNUMBER(G82),IF(G82=0,0,""),"")</f>
      </c>
      <c r="L82" s="32"/>
      <c r="M82" s="31" t="str">
        <f>IF(D82&lt;&gt;"Yes","",IF(ISNUMBER(L82),L82,IF(ISNUMBER(K82),K82,"")))</f>
      </c>
      <c r="N82" s="31" t="str">
        <f>IF(AND(ISNUMBER(G82),ISNUMBER(M82),ISNUMBER($B$7)),G82*M82*(1+$B$7),"")</f>
      </c>
      <c r="O82" s="15" t="str">
        <v>Not assessed</v>
      </c>
      <c r="P82" s="15" t="str">
        <v>Old power architecture: Rev B replacement planned; do not bulk-buy on these counts.</v>
      </c>
      <c r="Q82" s="14" t="str">
        <v>Search (not exact)</v>
      </c>
      <c r="R82" s="33" t="str">
        <f>IF(AND(ISNUMBER(J82),ISNUMBER($B$7)),IF(J82=0,0,IF(ISNUMBER(L82),J82*L82*(1+$B$7),"")),"")</f>
      </c>
      <c r="S82" s="15" t="str">
        <v>No quote / exact selection pending</v>
      </c>
      <c r="T82" s="15" t="str">
        <v>No forecast; use contingency input</v>
      </c>
    </row>
    <row r="83" ht="48" customHeight="1">
      <c r="A83" s="15" t="str">
        <v>R6</v>
      </c>
      <c r="B83" s="15" t="str">
        <v>47k 1%</v>
      </c>
      <c r="C83" s="2" t="n">
        <v>1</v>
      </c>
      <c r="D83" s="29" t="str">
        <v>Yes</v>
      </c>
      <c r="E83" s="2" t="n">
        <f>IF(D83&lt;&gt;"Yes",0,IF(ISNUMBER($B$4),C83*$B$4,""))</f>
        <v>10</v>
      </c>
      <c r="F83" s="15" t="n">
        <f>IF(AND(ISNUMBER(E83),ISNUMBER($B$5),ISNUMBER($B$6)),IF(E83=0,0,ROUNDUP(E83*$B$5,0)+$B$6),"")</f>
        <v>3</v>
      </c>
      <c r="G83" s="2" t="n">
        <f>IF(AND(ISNUMBER(E83),ISNUMBER(F83)),E83+F83,"")</f>
        <v>13</v>
      </c>
      <c r="H83" s="29"/>
      <c r="I83" s="29"/>
      <c r="J83" s="2" t="str">
        <f>IF(AND(ISNUMBER(H83),ISNUMBER(I83)),MAX(0,G83-H83-I83),"")</f>
      </c>
      <c r="K83" s="31" t="str">
        <f>IF(ISNUMBER(G83),IF(G83=0,0,""),"")</f>
      </c>
      <c r="L83" s="32"/>
      <c r="M83" s="31" t="str">
        <f>IF(D83&lt;&gt;"Yes","",IF(ISNUMBER(L83),L83,IF(ISNUMBER(K83),K83,"")))</f>
      </c>
      <c r="N83" s="31" t="str">
        <f>IF(AND(ISNUMBER(G83),ISNUMBER(M83),ISNUMBER($B$7)),G83*M83*(1+$B$7),"")</f>
      </c>
      <c r="O83" s="15" t="str">
        <v>Not assessed</v>
      </c>
      <c r="P83" s="15" t="str">
        <v>Old power architecture: Rev B replacement planned; do not bulk-buy on these counts.</v>
      </c>
      <c r="Q83" s="14" t="str">
        <v>Search (not exact)</v>
      </c>
      <c r="R83" s="33" t="str">
        <f>IF(AND(ISNUMBER(J83),ISNUMBER($B$7)),IF(J83=0,0,IF(ISNUMBER(L83),J83*L83*(1+$B$7),"")),"")</f>
      </c>
      <c r="S83" s="15" t="str">
        <v>No quote / exact selection pending</v>
      </c>
      <c r="T83" s="15" t="str">
        <v>No forecast; use contingency input</v>
      </c>
    </row>
    <row r="84" ht="48" customHeight="1">
      <c r="A84" s="15" t="str">
        <v>C199</v>
      </c>
      <c r="B84" s="15" t="str">
        <v>47u</v>
      </c>
      <c r="C84" s="2" t="n">
        <v>1</v>
      </c>
      <c r="D84" s="29" t="str">
        <v>Yes</v>
      </c>
      <c r="E84" s="2" t="n">
        <f>IF(D84&lt;&gt;"Yes",0,IF(ISNUMBER($B$4),C84*$B$4,""))</f>
        <v>10</v>
      </c>
      <c r="F84" s="15" t="n">
        <f>IF(AND(ISNUMBER(E84),ISNUMBER($B$5),ISNUMBER($B$6)),IF(E84=0,0,ROUNDUP(E84*$B$5,0)+$B$6),"")</f>
        <v>3</v>
      </c>
      <c r="G84" s="2" t="n">
        <f>IF(AND(ISNUMBER(E84),ISNUMBER(F84)),E84+F84,"")</f>
        <v>13</v>
      </c>
      <c r="H84" s="29"/>
      <c r="I84" s="29"/>
      <c r="J84" s="2" t="str">
        <f>IF(AND(ISNUMBER(H84),ISNUMBER(I84)),MAX(0,G84-H84-I84),"")</f>
      </c>
      <c r="K84" s="31" t="str">
        <f>IF(ISNUMBER(G84),IF(G84=0,0,""),"")</f>
      </c>
      <c r="L84" s="32"/>
      <c r="M84" s="31" t="str">
        <f>IF(D84&lt;&gt;"Yes","",IF(ISNUMBER(L84),L84,IF(ISNUMBER(K84),K84,"")))</f>
      </c>
      <c r="N84" s="31" t="str">
        <f>IF(AND(ISNUMBER(G84),ISNUMBER(M84),ISNUMBER($B$7)),G84*M84*(1+$B$7),"")</f>
      </c>
      <c r="O84" s="15" t="str">
        <v>Not assessed</v>
      </c>
      <c r="P84" s="15" t="str">
        <v>Verify exact MPN, ratings, footprint and Rev B retention.</v>
      </c>
      <c r="Q84" s="14" t="str">
        <v>Search (not exact)</v>
      </c>
      <c r="R84" s="33" t="str">
        <f>IF(AND(ISNUMBER(J84),ISNUMBER($B$7)),IF(J84=0,0,IF(ISNUMBER(L84),J84*L84*(1+$B$7),"")),"")</f>
      </c>
      <c r="S84" s="15" t="str">
        <v>No quote / exact selection pending</v>
      </c>
      <c r="T84" s="15" t="str">
        <v>No forecast; use contingency input</v>
      </c>
    </row>
    <row r="85" ht="48" customHeight="1">
      <c r="A85" s="15" t="str">
        <v>C99, C134, C152, C151</v>
      </c>
      <c r="B85" s="15" t="str">
        <v>4u7</v>
      </c>
      <c r="C85" s="2" t="n">
        <v>4</v>
      </c>
      <c r="D85" s="29" t="str">
        <v>Yes</v>
      </c>
      <c r="E85" s="2" t="n">
        <f>IF(D85&lt;&gt;"Yes",0,IF(ISNUMBER($B$4),C85*$B$4,""))</f>
        <v>40</v>
      </c>
      <c r="F85" s="15" t="n">
        <f>IF(AND(ISNUMBER(E85),ISNUMBER($B$5),ISNUMBER($B$6)),IF(E85=0,0,ROUNDUP(E85*$B$5,0)+$B$6),"")</f>
        <v>6</v>
      </c>
      <c r="G85" s="2" t="n">
        <f>IF(AND(ISNUMBER(E85),ISNUMBER(F85)),E85+F85,"")</f>
        <v>46</v>
      </c>
      <c r="H85" s="29"/>
      <c r="I85" s="29"/>
      <c r="J85" s="2" t="str">
        <f>IF(AND(ISNUMBER(H85),ISNUMBER(I85)),MAX(0,G85-H85-I85),"")</f>
      </c>
      <c r="K85" s="31" t="str">
        <f>IF(ISNUMBER(G85),IF(G85=0,0,""),"")</f>
      </c>
      <c r="L85" s="32"/>
      <c r="M85" s="31" t="str">
        <f>IF(D85&lt;&gt;"Yes","",IF(ISNUMBER(L85),L85,IF(ISNUMBER(K85),K85,"")))</f>
      </c>
      <c r="N85" s="31" t="str">
        <f>IF(AND(ISNUMBER(G85),ISNUMBER(M85),ISNUMBER($B$7)),G85*M85*(1+$B$7),"")</f>
      </c>
      <c r="O85" s="15" t="str">
        <v>Not assessed</v>
      </c>
      <c r="P85" s="15" t="str">
        <v>Old power architecture: Rev B replacement planned; do not bulk-buy on these counts.</v>
      </c>
      <c r="Q85" s="14" t="str">
        <v>Search (not exact)</v>
      </c>
      <c r="R85" s="33" t="str">
        <f>IF(AND(ISNUMBER(J85),ISNUMBER($B$7)),IF(J85=0,0,IF(ISNUMBER(L85),J85*L85*(1+$B$7),"")),"")</f>
      </c>
      <c r="S85" s="15" t="str">
        <v>No quote / exact selection pending</v>
      </c>
      <c r="T85" s="15" t="str">
        <v>No forecast; use contingency input</v>
      </c>
    </row>
    <row r="86" ht="48" customHeight="1">
      <c r="A86" s="15" t="str">
        <v>R16, R17</v>
      </c>
      <c r="B86" s="15" t="str">
        <v>5.1k</v>
      </c>
      <c r="C86" s="2" t="n">
        <v>2</v>
      </c>
      <c r="D86" s="29" t="str">
        <v>Yes</v>
      </c>
      <c r="E86" s="2" t="n">
        <f>IF(D86&lt;&gt;"Yes",0,IF(ISNUMBER($B$4),C86*$B$4,""))</f>
        <v>20</v>
      </c>
      <c r="F86" s="15" t="n">
        <f>IF(AND(ISNUMBER(E86),ISNUMBER($B$5),ISNUMBER($B$6)),IF(E86=0,0,ROUNDUP(E86*$B$5,0)+$B$6),"")</f>
        <v>4</v>
      </c>
      <c r="G86" s="2" t="n">
        <f>IF(AND(ISNUMBER(E86),ISNUMBER(F86)),E86+F86,"")</f>
        <v>24</v>
      </c>
      <c r="H86" s="29"/>
      <c r="I86" s="29"/>
      <c r="J86" s="2" t="str">
        <f>IF(AND(ISNUMBER(H86),ISNUMBER(I86)),MAX(0,G86-H86-I86),"")</f>
      </c>
      <c r="K86" s="31" t="str">
        <f>IF(ISNUMBER(G86),IF(G86=0,0,""),"")</f>
      </c>
      <c r="L86" s="32"/>
      <c r="M86" s="31" t="str">
        <f>IF(D86&lt;&gt;"Yes","",IF(ISNUMBER(L86),L86,IF(ISNUMBER(K86),K86,"")))</f>
      </c>
      <c r="N86" s="31" t="str">
        <f>IF(AND(ISNUMBER(G86),ISNUMBER(M86),ISNUMBER($B$7)),G86*M86*(1+$B$7),"")</f>
      </c>
      <c r="O86" s="15" t="str">
        <v>Not assessed</v>
      </c>
      <c r="P86" s="15" t="str">
        <v>Verify exact MPN, ratings, footprint and Rev B retention.</v>
      </c>
      <c r="Q86" s="14" t="str">
        <v>Search (not exact)</v>
      </c>
      <c r="R86" s="33" t="str">
        <f>IF(AND(ISNUMBER(J86),ISNUMBER($B$7)),IF(J86=0,0,IF(ISNUMBER(L86),J86*L86*(1+$B$7),"")),"")</f>
      </c>
      <c r="S86" s="15" t="str">
        <v>No quote / exact selection pending</v>
      </c>
      <c r="T86" s="15" t="str">
        <v>No forecast; use contingency input</v>
      </c>
    </row>
    <row r="87" ht="48" customHeight="1">
      <c r="A87" s="15" t="str">
        <v>J36</v>
      </c>
      <c r="B87" s="15" t="str">
        <v>533980471</v>
      </c>
      <c r="C87" s="2" t="n">
        <v>1</v>
      </c>
      <c r="D87" s="29" t="str">
        <v>Yes</v>
      </c>
      <c r="E87" s="2" t="n">
        <f>IF(D87&lt;&gt;"Yes",0,IF(ISNUMBER($B$4),C87*$B$4,""))</f>
        <v>10</v>
      </c>
      <c r="F87" s="15" t="n">
        <f>IF(AND(ISNUMBER(E87),ISNUMBER($B$5),ISNUMBER($B$6)),IF(E87=0,0,ROUNDUP(E87*$B$5,0)+$B$6),"")</f>
        <v>3</v>
      </c>
      <c r="G87" s="2" t="n">
        <f>IF(AND(ISNUMBER(E87),ISNUMBER(F87)),E87+F87,"")</f>
        <v>13</v>
      </c>
      <c r="H87" s="29"/>
      <c r="I87" s="29"/>
      <c r="J87" s="2" t="str">
        <f>IF(AND(ISNUMBER(H87),ISNUMBER(I87)),MAX(0,G87-H87-I87),"")</f>
      </c>
      <c r="K87" s="31" t="str">
        <f>IF(ISNUMBER(G87),IF(G87=0,0,""),"")</f>
      </c>
      <c r="L87" s="32"/>
      <c r="M87" s="31" t="str">
        <f>IF(D87&lt;&gt;"Yes","",IF(ISNUMBER(L87),L87,IF(ISNUMBER(K87),K87,"")))</f>
      </c>
      <c r="N87" s="31" t="str">
        <f>IF(AND(ISNUMBER(G87),ISNUMBER(M87),ISNUMBER($B$7)),G87*M87*(1+$B$7),"")</f>
      </c>
      <c r="O87" s="15" t="str">
        <v>Not assessed</v>
      </c>
      <c r="P87" s="15" t="str">
        <v>Verify exact MPN, ratings, footprint and Rev B retention.</v>
      </c>
      <c r="Q87" s="14" t="str">
        <v>Search (not exact)</v>
      </c>
      <c r="R87" s="33" t="str">
        <f>IF(AND(ISNUMBER(J87),ISNUMBER($B$7)),IF(J87=0,0,IF(ISNUMBER(L87),J87*L87*(1+$B$7),"")),"")</f>
      </c>
      <c r="S87" s="15" t="str">
        <v>No quote / exact selection pending</v>
      </c>
      <c r="T87" s="15" t="str">
        <v>No forecast; use contingency input</v>
      </c>
    </row>
    <row r="88" ht="48" customHeight="1">
      <c r="A88" s="15" t="str">
        <v>IC6, IC7, IC1</v>
      </c>
      <c r="B88" s="15" t="str">
        <v>74LVC1T45DW-7</v>
      </c>
      <c r="C88" s="2" t="n">
        <v>3</v>
      </c>
      <c r="D88" s="29" t="str">
        <v>Yes</v>
      </c>
      <c r="E88" s="2" t="n">
        <f>IF(D88&lt;&gt;"Yes",0,IF(ISNUMBER($B$4),C88*$B$4,""))</f>
        <v>30</v>
      </c>
      <c r="F88" s="15" t="n">
        <f>IF(AND(ISNUMBER(E88),ISNUMBER($B$5),ISNUMBER($B$6)),IF(E88=0,0,ROUNDUP(E88*$B$5,0)+$B$6),"")</f>
        <v>5</v>
      </c>
      <c r="G88" s="2" t="n">
        <f>IF(AND(ISNUMBER(E88),ISNUMBER(F88)),E88+F88,"")</f>
        <v>35</v>
      </c>
      <c r="H88" s="29"/>
      <c r="I88" s="29"/>
      <c r="J88" s="2" t="str">
        <f>IF(AND(ISNUMBER(H88),ISNUMBER(I88)),MAX(0,G88-H88-I88),"")</f>
      </c>
      <c r="K88" s="31" t="str">
        <f>IF(ISNUMBER(G88),IF(G88=0,0,""),"")</f>
      </c>
      <c r="L88" s="32"/>
      <c r="M88" s="31" t="str">
        <f>IF(D88&lt;&gt;"Yes","",IF(ISNUMBER(L88),L88,IF(ISNUMBER(K88),K88,"")))</f>
      </c>
      <c r="N88" s="31" t="str">
        <f>IF(AND(ISNUMBER(G88),ISNUMBER(M88),ISNUMBER($B$7)),G88*M88*(1+$B$7),"")</f>
      </c>
      <c r="O88" s="15" t="str">
        <v>Not assessed</v>
      </c>
      <c r="P88" s="15" t="str">
        <v>Old power architecture: Rev B replacement planned; do not bulk-buy on these counts.</v>
      </c>
      <c r="Q88" s="14" t="str">
        <v>Search (not exact)</v>
      </c>
      <c r="R88" s="33" t="str">
        <f>IF(AND(ISNUMBER(J88),ISNUMBER($B$7)),IF(J88=0,0,IF(ISNUMBER(L88),J88*L88*(1+$B$7),"")),"")</f>
      </c>
      <c r="S88" s="15" t="str">
        <v>No quote / exact selection pending</v>
      </c>
      <c r="T88" s="15" t="str">
        <v>No forecast; use contingency input</v>
      </c>
    </row>
    <row r="89" ht="48" customHeight="1">
      <c r="A89" s="15" t="str">
        <v>J9</v>
      </c>
      <c r="B89" s="15" t="str">
        <v>78800-0001</v>
      </c>
      <c r="C89" s="2" t="n">
        <v>1</v>
      </c>
      <c r="D89" s="29" t="str">
        <v>Yes</v>
      </c>
      <c r="E89" s="2" t="n">
        <f>IF(D89&lt;&gt;"Yes",0,IF(ISNUMBER($B$4),C89*$B$4,""))</f>
        <v>10</v>
      </c>
      <c r="F89" s="15" t="n">
        <f>IF(AND(ISNUMBER(E89),ISNUMBER($B$5),ISNUMBER($B$6)),IF(E89=0,0,ROUNDUP(E89*$B$5,0)+$B$6),"")</f>
        <v>3</v>
      </c>
      <c r="G89" s="2" t="n">
        <f>IF(AND(ISNUMBER(E89),ISNUMBER(F89)),E89+F89,"")</f>
        <v>13</v>
      </c>
      <c r="H89" s="29"/>
      <c r="I89" s="29"/>
      <c r="J89" s="2" t="str">
        <f>IF(AND(ISNUMBER(H89),ISNUMBER(I89)),MAX(0,G89-H89-I89),"")</f>
      </c>
      <c r="K89" s="31" t="str">
        <f>IF(ISNUMBER(G89),IF(G89=0,0,""),"")</f>
      </c>
      <c r="L89" s="32"/>
      <c r="M89" s="31" t="str">
        <f>IF(D89&lt;&gt;"Yes","",IF(ISNUMBER(L89),L89,IF(ISNUMBER(K89),K89,"")))</f>
      </c>
      <c r="N89" s="31" t="str">
        <f>IF(AND(ISNUMBER(G89),ISNUMBER(M89),ISNUMBER($B$7)),G89*M89*(1+$B$7),"")</f>
      </c>
      <c r="O89" s="15" t="str">
        <v>Not assessed</v>
      </c>
      <c r="P89" s="15" t="str">
        <v>Verify exact MPN, ratings, footprint and Rev B retention.</v>
      </c>
      <c r="Q89" s="14" t="str">
        <v>Search (not exact)</v>
      </c>
      <c r="R89" s="33" t="str">
        <f>IF(AND(ISNUMBER(J89),ISNUMBER($B$7)),IF(J89=0,0,IF(ISNUMBER(L89),J89*L89*(1+$B$7),"")),"")</f>
      </c>
      <c r="S89" s="15" t="str">
        <v>No quote / exact selection pending</v>
      </c>
      <c r="T89" s="15" t="str">
        <v>No forecast; use contingency input</v>
      </c>
    </row>
    <row r="90" ht="48" customHeight="1">
      <c r="A90" s="15" t="str">
        <v>C179</v>
      </c>
      <c r="B90" s="15" t="str">
        <v>820p</v>
      </c>
      <c r="C90" s="2" t="n">
        <v>1</v>
      </c>
      <c r="D90" s="29" t="str">
        <v>Yes</v>
      </c>
      <c r="E90" s="2" t="n">
        <f>IF(D90&lt;&gt;"Yes",0,IF(ISNUMBER($B$4),C90*$B$4,""))</f>
        <v>10</v>
      </c>
      <c r="F90" s="15" t="n">
        <f>IF(AND(ISNUMBER(E90),ISNUMBER($B$5),ISNUMBER($B$6)),IF(E90=0,0,ROUNDUP(E90*$B$5,0)+$B$6),"")</f>
        <v>3</v>
      </c>
      <c r="G90" s="2" t="n">
        <f>IF(AND(ISNUMBER(E90),ISNUMBER(F90)),E90+F90,"")</f>
        <v>13</v>
      </c>
      <c r="H90" s="29"/>
      <c r="I90" s="29"/>
      <c r="J90" s="2" t="str">
        <f>IF(AND(ISNUMBER(H90),ISNUMBER(I90)),MAX(0,G90-H90-I90),"")</f>
      </c>
      <c r="K90" s="31" t="str">
        <f>IF(ISNUMBER(G90),IF(G90=0,0,""),"")</f>
      </c>
      <c r="L90" s="32"/>
      <c r="M90" s="31" t="str">
        <f>IF(D90&lt;&gt;"Yes","",IF(ISNUMBER(L90),L90,IF(ISNUMBER(K90),K90,"")))</f>
      </c>
      <c r="N90" s="31" t="str">
        <f>IF(AND(ISNUMBER(G90),ISNUMBER(M90),ISNUMBER($B$7)),G90*M90*(1+$B$7),"")</f>
      </c>
      <c r="O90" s="15" t="str">
        <v>Not assessed</v>
      </c>
      <c r="P90" s="15" t="str">
        <v>Verify exact MPN, ratings, footprint and Rev B retention.</v>
      </c>
      <c r="Q90" s="14" t="str">
        <v>Search (not exact)</v>
      </c>
      <c r="R90" s="33" t="str">
        <f>IF(AND(ISNUMBER(J90),ISNUMBER($B$7)),IF(J90=0,0,IF(ISNUMBER(L90),J90*L90*(1+$B$7),"")),"")</f>
      </c>
      <c r="S90" s="15" t="str">
        <v>No quote / exact selection pending</v>
      </c>
      <c r="T90" s="15" t="str">
        <v>No forecast; use contingency input</v>
      </c>
    </row>
    <row r="91" ht="48" customHeight="1">
      <c r="A91" s="15" t="str">
        <v>R64, R66</v>
      </c>
      <c r="B91" s="15" t="str">
        <v>8k</v>
      </c>
      <c r="C91" s="2" t="n">
        <v>2</v>
      </c>
      <c r="D91" s="29" t="str">
        <v>Yes</v>
      </c>
      <c r="E91" s="2" t="n">
        <f>IF(D91&lt;&gt;"Yes",0,IF(ISNUMBER($B$4),C91*$B$4,""))</f>
        <v>20</v>
      </c>
      <c r="F91" s="15" t="n">
        <f>IF(AND(ISNUMBER(E91),ISNUMBER($B$5),ISNUMBER($B$6)),IF(E91=0,0,ROUNDUP(E91*$B$5,0)+$B$6),"")</f>
        <v>4</v>
      </c>
      <c r="G91" s="2" t="n">
        <f>IF(AND(ISNUMBER(E91),ISNUMBER(F91)),E91+F91,"")</f>
        <v>24</v>
      </c>
      <c r="H91" s="29"/>
      <c r="I91" s="29"/>
      <c r="J91" s="2" t="str">
        <f>IF(AND(ISNUMBER(H91),ISNUMBER(I91)),MAX(0,G91-H91-I91),"")</f>
      </c>
      <c r="K91" s="31" t="str">
        <f>IF(ISNUMBER(G91),IF(G91=0,0,""),"")</f>
      </c>
      <c r="L91" s="32"/>
      <c r="M91" s="31" t="str">
        <f>IF(D91&lt;&gt;"Yes","",IF(ISNUMBER(L91),L91,IF(ISNUMBER(K91),K91,"")))</f>
      </c>
      <c r="N91" s="31" t="str">
        <f>IF(AND(ISNUMBER(G91),ISNUMBER(M91),ISNUMBER($B$7)),G91*M91*(1+$B$7),"")</f>
      </c>
      <c r="O91" s="15" t="str">
        <v>Not assessed</v>
      </c>
      <c r="P91" s="15" t="str">
        <v>Old power architecture: Rev B replacement planned; do not bulk-buy on these counts.</v>
      </c>
      <c r="Q91" s="14" t="str">
        <v>Search (not exact)</v>
      </c>
      <c r="R91" s="33" t="str">
        <f>IF(AND(ISNUMBER(J91),ISNUMBER($B$7)),IF(J91=0,0,IF(ISNUMBER(L91),J91*L91*(1+$B$7),"")),"")</f>
      </c>
      <c r="S91" s="15" t="str">
        <v>No quote / exact selection pending</v>
      </c>
      <c r="T91" s="15" t="str">
        <v>No forecast; use contingency input</v>
      </c>
    </row>
    <row r="92" ht="48" customHeight="1">
      <c r="A92" s="15" t="str">
        <v>J4, J10, J38</v>
      </c>
      <c r="B92" s="15" t="str">
        <v>90120-0123</v>
      </c>
      <c r="C92" s="2" t="n">
        <v>3</v>
      </c>
      <c r="D92" s="29" t="str">
        <v>Yes</v>
      </c>
      <c r="E92" s="2" t="n">
        <f>IF(D92&lt;&gt;"Yes",0,IF(ISNUMBER($B$4),C92*$B$4,""))</f>
        <v>30</v>
      </c>
      <c r="F92" s="15" t="n">
        <f>IF(AND(ISNUMBER(E92),ISNUMBER($B$5),ISNUMBER($B$6)),IF(E92=0,0,ROUNDUP(E92*$B$5,0)+$B$6),"")</f>
        <v>5</v>
      </c>
      <c r="G92" s="2" t="n">
        <f>IF(AND(ISNUMBER(E92),ISNUMBER(F92)),E92+F92,"")</f>
        <v>35</v>
      </c>
      <c r="H92" s="29"/>
      <c r="I92" s="29"/>
      <c r="J92" s="2" t="str">
        <f>IF(AND(ISNUMBER(H92),ISNUMBER(I92)),MAX(0,G92-H92-I92),"")</f>
      </c>
      <c r="K92" s="31" t="str">
        <f>IF(ISNUMBER(G92),IF(G92=0,0,""),"")</f>
      </c>
      <c r="L92" s="32"/>
      <c r="M92" s="31" t="str">
        <f>IF(D92&lt;&gt;"Yes","",IF(ISNUMBER(L92),L92,IF(ISNUMBER(K92),K92,"")))</f>
      </c>
      <c r="N92" s="31" t="str">
        <f>IF(AND(ISNUMBER(G92),ISNUMBER(M92),ISNUMBER($B$7)),G92*M92*(1+$B$7),"")</f>
      </c>
      <c r="O92" s="15" t="str">
        <v>Not assessed</v>
      </c>
      <c r="P92" s="15" t="str">
        <v>Old power architecture: Rev B replacement planned; do not bulk-buy on these counts.</v>
      </c>
      <c r="Q92" s="14" t="str">
        <v>Search (not exact)</v>
      </c>
      <c r="R92" s="33" t="str">
        <f>IF(AND(ISNUMBER(J92),ISNUMBER($B$7)),IF(J92=0,0,IF(ISNUMBER(L92),J92*L92*(1+$B$7),"")),"")</f>
      </c>
      <c r="S92" s="15" t="str">
        <v>No quote / exact selection pending</v>
      </c>
      <c r="T92" s="15" t="str">
        <v>No forecast; use contingency input</v>
      </c>
    </row>
    <row r="93" ht="48" customHeight="1">
      <c r="A93" s="15" t="str">
        <v>U7</v>
      </c>
      <c r="B93" s="15" t="str">
        <v>93AA66C-I/SN</v>
      </c>
      <c r="C93" s="2" t="n">
        <v>1</v>
      </c>
      <c r="D93" s="29" t="str">
        <v>Yes</v>
      </c>
      <c r="E93" s="2" t="n">
        <f>IF(D93&lt;&gt;"Yes",0,IF(ISNUMBER($B$4),C93*$B$4,""))</f>
        <v>10</v>
      </c>
      <c r="F93" s="15" t="n">
        <f>IF(AND(ISNUMBER(E93),ISNUMBER($B$5),ISNUMBER($B$6)),IF(E93=0,0,ROUNDUP(E93*$B$5,0)+$B$6),"")</f>
        <v>3</v>
      </c>
      <c r="G93" s="2" t="n">
        <f>IF(AND(ISNUMBER(E93),ISNUMBER(F93)),E93+F93,"")</f>
        <v>13</v>
      </c>
      <c r="H93" s="29"/>
      <c r="I93" s="29"/>
      <c r="J93" s="2" t="str">
        <f>IF(AND(ISNUMBER(H93),ISNUMBER(I93)),MAX(0,G93-H93-I93),"")</f>
      </c>
      <c r="K93" s="31" t="str">
        <f>IF(ISNUMBER(G93),IF(G93=0,0,""),"")</f>
      </c>
      <c r="L93" s="32"/>
      <c r="M93" s="31" t="str">
        <f>IF(D93&lt;&gt;"Yes","",IF(ISNUMBER(L93),L93,IF(ISNUMBER(K93),K93,"")))</f>
      </c>
      <c r="N93" s="31" t="str">
        <f>IF(AND(ISNUMBER(G93),ISNUMBER(M93),ISNUMBER($B$7)),G93*M93*(1+$B$7),"")</f>
      </c>
      <c r="O93" s="15" t="str">
        <v>Not assessed</v>
      </c>
      <c r="P93" s="15" t="str">
        <v>Verify exact MPN, ratings, footprint and Rev B retention.</v>
      </c>
      <c r="Q93" s="14" t="str">
        <v>Search (not exact)</v>
      </c>
      <c r="R93" s="33" t="str">
        <f>IF(AND(ISNUMBER(J93),ISNUMBER($B$7)),IF(J93=0,0,IF(ISNUMBER(L93),J93*L93*(1+$B$7),"")),"")</f>
      </c>
      <c r="S93" s="15" t="str">
        <v>No quote / exact selection pending</v>
      </c>
      <c r="T93" s="15" t="str">
        <v>No forecast; use contingency input</v>
      </c>
    </row>
    <row r="94" ht="48" customHeight="1">
      <c r="A94" s="15" t="str">
        <v>IC2</v>
      </c>
      <c r="B94" s="15" t="str">
        <v>AMS1117-1.2</v>
      </c>
      <c r="C94" s="2" t="n">
        <v>1</v>
      </c>
      <c r="D94" s="29" t="str">
        <v>Yes</v>
      </c>
      <c r="E94" s="2" t="n">
        <f>IF(D94&lt;&gt;"Yes",0,IF(ISNUMBER($B$4),C94*$B$4,""))</f>
        <v>10</v>
      </c>
      <c r="F94" s="15" t="n">
        <f>IF(AND(ISNUMBER(E94),ISNUMBER($B$5),ISNUMBER($B$6)),IF(E94=0,0,ROUNDUP(E94*$B$5,0)+$B$6),"")</f>
        <v>3</v>
      </c>
      <c r="G94" s="2" t="n">
        <f>IF(AND(ISNUMBER(E94),ISNUMBER(F94)),E94+F94,"")</f>
        <v>13</v>
      </c>
      <c r="H94" s="29"/>
      <c r="I94" s="29"/>
      <c r="J94" s="2" t="str">
        <f>IF(AND(ISNUMBER(H94),ISNUMBER(I94)),MAX(0,G94-H94-I94),"")</f>
      </c>
      <c r="K94" s="31" t="str">
        <f>IF(ISNUMBER(G94),IF(G94=0,0,""),"")</f>
      </c>
      <c r="L94" s="32"/>
      <c r="M94" s="31" t="str">
        <f>IF(D94&lt;&gt;"Yes","",IF(ISNUMBER(L94),L94,IF(ISNUMBER(K94),K94,"")))</f>
      </c>
      <c r="N94" s="31" t="str">
        <f>IF(AND(ISNUMBER(G94),ISNUMBER(M94),ISNUMBER($B$7)),G94*M94*(1+$B$7),"")</f>
      </c>
      <c r="O94" s="15" t="str">
        <v>Not assessed</v>
      </c>
      <c r="P94" s="15" t="str">
        <v>Verify exact MPN, ratings, footprint and Rev B retention.</v>
      </c>
      <c r="Q94" s="14" t="str">
        <v>Search (not exact)</v>
      </c>
      <c r="R94" s="33" t="str">
        <f>IF(AND(ISNUMBER(J94),ISNUMBER($B$7)),IF(J94=0,0,IF(ISNUMBER(L94),J94*L94*(1+$B$7),"")),"")</f>
      </c>
      <c r="S94" s="15" t="str">
        <v>No quote / exact selection pending</v>
      </c>
      <c r="T94" s="15" t="str">
        <v>No forecast; use contingency input</v>
      </c>
    </row>
    <row r="95" ht="48" customHeight="1">
      <c r="A95" s="15" t="str">
        <v>U12, U3, U16</v>
      </c>
      <c r="B95" s="15" t="str">
        <v>AMS1117-3.3</v>
      </c>
      <c r="C95" s="2" t="n">
        <v>3</v>
      </c>
      <c r="D95" s="29" t="str">
        <v>Yes</v>
      </c>
      <c r="E95" s="2" t="n">
        <f>IF(D95&lt;&gt;"Yes",0,IF(ISNUMBER($B$4),C95*$B$4,""))</f>
        <v>30</v>
      </c>
      <c r="F95" s="15" t="n">
        <f>IF(AND(ISNUMBER(E95),ISNUMBER($B$5),ISNUMBER($B$6)),IF(E95=0,0,ROUNDUP(E95*$B$5,0)+$B$6),"")</f>
        <v>5</v>
      </c>
      <c r="G95" s="2" t="n">
        <f>IF(AND(ISNUMBER(E95),ISNUMBER(F95)),E95+F95,"")</f>
        <v>35</v>
      </c>
      <c r="H95" s="29"/>
      <c r="I95" s="29"/>
      <c r="J95" s="2" t="str">
        <f>IF(AND(ISNUMBER(H95),ISNUMBER(I95)),MAX(0,G95-H95-I95),"")</f>
      </c>
      <c r="K95" s="31" t="str">
        <f>IF(ISNUMBER(G95),IF(G95=0,0,""),"")</f>
      </c>
      <c r="L95" s="32"/>
      <c r="M95" s="31" t="str">
        <f>IF(D95&lt;&gt;"Yes","",IF(ISNUMBER(L95),L95,IF(ISNUMBER(K95),K95,"")))</f>
      </c>
      <c r="N95" s="31" t="str">
        <f>IF(AND(ISNUMBER(G95),ISNUMBER(M95),ISNUMBER($B$7)),G95*M95*(1+$B$7),"")</f>
      </c>
      <c r="O95" s="15" t="str">
        <v>Not assessed</v>
      </c>
      <c r="P95" s="15" t="str">
        <v>Old power architecture: Rev B replacement planned; do not bulk-buy on these counts.</v>
      </c>
      <c r="Q95" s="14" t="str">
        <v>Search (not exact)</v>
      </c>
      <c r="R95" s="33" t="str">
        <f>IF(AND(ISNUMBER(J95),ISNUMBER($B$7)),IF(J95=0,0,IF(ISNUMBER(L95),J95*L95*(1+$B$7),"")),"")</f>
      </c>
      <c r="S95" s="15" t="str">
        <v>No quote / exact selection pending</v>
      </c>
      <c r="T95" s="15" t="str">
        <v>No forecast; use contingency input</v>
      </c>
    </row>
    <row r="96" ht="48" customHeight="1">
      <c r="A96" s="15" t="str">
        <v>U13, U20</v>
      </c>
      <c r="B96" s="15" t="str">
        <v>AMS1117-3.3 / AMS1117-1.8</v>
      </c>
      <c r="C96" s="2" t="n">
        <v>2</v>
      </c>
      <c r="D96" s="29" t="str">
        <v>No</v>
      </c>
      <c r="E96" s="2" t="n">
        <f>IF(D96&lt;&gt;"Yes",0,IF(ISNUMBER($B$4),C96*$B$4,""))</f>
        <v>0</v>
      </c>
      <c r="F96" s="15" t="n">
        <f>IF(AND(ISNUMBER(E96),ISNUMBER($B$5),ISNUMBER($B$6)),IF(E96=0,0,ROUNDUP(E96*$B$5,0)+$B$6),"")</f>
        <v>0</v>
      </c>
      <c r="G96" s="2" t="n">
        <f>IF(AND(ISNUMBER(E96),ISNUMBER(F96)),E96+F96,"")</f>
        <v>0</v>
      </c>
      <c r="H96" s="29"/>
      <c r="I96" s="29"/>
      <c r="J96" s="2" t="str">
        <f>IF(AND(ISNUMBER(H96),ISNUMBER(I96)),MAX(0,G96-H96-I96),"")</f>
      </c>
      <c r="K96" s="31" t="n">
        <f>IF(ISNUMBER(G96),IF(G96=0,0,""),"")</f>
        <v>0</v>
      </c>
      <c r="L96" s="32"/>
      <c r="M96" s="31" t="str">
        <f>IF(D96&lt;&gt;"Yes","",IF(ISNUMBER(L96),L96,IF(ISNUMBER(K96),K96,"")))</f>
      </c>
      <c r="N96" s="31" t="str">
        <f>IF(AND(ISNUMBER(G96),ISNUMBER(M96),ISNUMBER($B$7)),G96*M96*(1+$B$7),"")</f>
      </c>
      <c r="O96" s="15" t="str">
        <v>Not assessed</v>
      </c>
      <c r="P96" s="15" t="str">
        <v>HOLD: manufacturer MPN 3.3 V conflicts with 1.8 V comment.</v>
      </c>
      <c r="Q96" s="14" t="str">
        <v>Search (not exact)</v>
      </c>
      <c r="R96" s="33" t="str">
        <f>IF(AND(ISNUMBER(J96),ISNUMBER($B$7)),IF(J96=0,0,IF(ISNUMBER(L96),J96*L96*(1+$B$7),"")),"")</f>
      </c>
      <c r="S96" s="15" t="str">
        <v>No quote / exact selection pending</v>
      </c>
      <c r="T96" s="15" t="str">
        <v>No forecast; use contingency input</v>
      </c>
    </row>
    <row r="97" ht="48" customHeight="1">
      <c r="A97" s="15" t="str">
        <v>U1, U2</v>
      </c>
      <c r="B97" s="15" t="str">
        <v>AP64501SP-13</v>
      </c>
      <c r="C97" s="2" t="n">
        <v>2</v>
      </c>
      <c r="D97" s="29" t="str">
        <v>Yes</v>
      </c>
      <c r="E97" s="2" t="n">
        <f>IF(D97&lt;&gt;"Yes",0,IF(ISNUMBER($B$4),C97*$B$4,""))</f>
        <v>20</v>
      </c>
      <c r="F97" s="15" t="n">
        <f>IF(AND(ISNUMBER(E97),ISNUMBER($B$5),ISNUMBER($B$6)),IF(E97=0,0,ROUNDUP(E97*$B$5,0)+$B$6),"")</f>
        <v>4</v>
      </c>
      <c r="G97" s="2" t="n">
        <f>IF(AND(ISNUMBER(E97),ISNUMBER(F97)),E97+F97,"")</f>
        <v>24</v>
      </c>
      <c r="H97" s="29"/>
      <c r="I97" s="29"/>
      <c r="J97" s="2" t="str">
        <f>IF(AND(ISNUMBER(H97),ISNUMBER(I97)),MAX(0,G97-H97-I97),"")</f>
      </c>
      <c r="K97" s="31" t="str">
        <f>IF(ISNUMBER(G97),IF(G97=0,0,""),"")</f>
      </c>
      <c r="L97" s="32"/>
      <c r="M97" s="31" t="str">
        <f>IF(D97&lt;&gt;"Yes","",IF(ISNUMBER(L97),L97,IF(ISNUMBER(K97),K97,"")))</f>
      </c>
      <c r="N97" s="31" t="str">
        <f>IF(AND(ISNUMBER(G97),ISNUMBER(M97),ISNUMBER($B$7)),G97*M97*(1+$B$7),"")</f>
      </c>
      <c r="O97" s="15" t="str">
        <v>Not assessed</v>
      </c>
      <c r="P97" s="15" t="str">
        <v>Old power architecture: Rev B replacement planned; do not bulk-buy on these counts.</v>
      </c>
      <c r="Q97" s="14" t="str">
        <v>Search (not exact)</v>
      </c>
      <c r="R97" s="33" t="str">
        <f>IF(AND(ISNUMBER(J97),ISNUMBER($B$7)),IF(J97=0,0,IF(ISNUMBER(L97),J97*L97*(1+$B$7),"")),"")</f>
      </c>
      <c r="S97" s="15" t="str">
        <v>No quote / exact selection pending</v>
      </c>
      <c r="T97" s="15" t="str">
        <v>No forecast; use contingency input</v>
      </c>
    </row>
    <row r="98" ht="48" customHeight="1">
      <c r="A98" s="15" t="str">
        <v>J27, J29, J30, J28, J37</v>
      </c>
      <c r="B98" s="15" t="str">
        <v>BM04B-GHS-TBT(LF)(SN)</v>
      </c>
      <c r="C98" s="2" t="n">
        <v>5</v>
      </c>
      <c r="D98" s="29" t="str">
        <v>Yes</v>
      </c>
      <c r="E98" s="2" t="n">
        <f>IF(D98&lt;&gt;"Yes",0,IF(ISNUMBER($B$4),C98*$B$4,""))</f>
        <v>50</v>
      </c>
      <c r="F98" s="15" t="n">
        <f>IF(AND(ISNUMBER(E98),ISNUMBER($B$5),ISNUMBER($B$6)),IF(E98=0,0,ROUNDUP(E98*$B$5,0)+$B$6),"")</f>
        <v>7</v>
      </c>
      <c r="G98" s="2" t="n">
        <f>IF(AND(ISNUMBER(E98),ISNUMBER(F98)),E98+F98,"")</f>
        <v>57</v>
      </c>
      <c r="H98" s="29"/>
      <c r="I98" s="29"/>
      <c r="J98" s="2" t="str">
        <f>IF(AND(ISNUMBER(H98),ISNUMBER(I98)),MAX(0,G98-H98-I98),"")</f>
      </c>
      <c r="K98" s="31" t="str">
        <f>IF(ISNUMBER(G98),IF(G98=0,0,""),"")</f>
      </c>
      <c r="L98" s="32"/>
      <c r="M98" s="31" t="str">
        <f>IF(D98&lt;&gt;"Yes","",IF(ISNUMBER(L98),L98,IF(ISNUMBER(K98),K98,"")))</f>
      </c>
      <c r="N98" s="31" t="str">
        <f>IF(AND(ISNUMBER(G98),ISNUMBER(M98),ISNUMBER($B$7)),G98*M98*(1+$B$7),"")</f>
      </c>
      <c r="O98" s="15" t="str">
        <v>Not assessed</v>
      </c>
      <c r="P98" s="15" t="str">
        <v>Verify exact MPN, ratings, footprint and Rev B retention.</v>
      </c>
      <c r="Q98" s="14" t="str">
        <v>Search (not exact)</v>
      </c>
      <c r="R98" s="33" t="str">
        <f>IF(AND(ISNUMBER(J98),ISNUMBER($B$7)),IF(J98=0,0,IF(ISNUMBER(L98),J98*L98*(1+$B$7),"")),"")</f>
      </c>
      <c r="S98" s="15" t="str">
        <v>No quote / exact selection pending</v>
      </c>
      <c r="T98" s="15" t="str">
        <v>No forecast; use contingency input</v>
      </c>
    </row>
    <row r="99" ht="48" customHeight="1">
      <c r="A99" s="15" t="str">
        <v>J32, J33, J34, J35</v>
      </c>
      <c r="B99" s="15" t="str">
        <v>BM06B-GHS-TBT(LF)(SN)</v>
      </c>
      <c r="C99" s="2" t="n">
        <v>4</v>
      </c>
      <c r="D99" s="29" t="str">
        <v>Yes</v>
      </c>
      <c r="E99" s="2" t="n">
        <f>IF(D99&lt;&gt;"Yes",0,IF(ISNUMBER($B$4),C99*$B$4,""))</f>
        <v>40</v>
      </c>
      <c r="F99" s="15" t="n">
        <f>IF(AND(ISNUMBER(E99),ISNUMBER($B$5),ISNUMBER($B$6)),IF(E99=0,0,ROUNDUP(E99*$B$5,0)+$B$6),"")</f>
        <v>6</v>
      </c>
      <c r="G99" s="2" t="n">
        <f>IF(AND(ISNUMBER(E99),ISNUMBER(F99)),E99+F99,"")</f>
        <v>46</v>
      </c>
      <c r="H99" s="29"/>
      <c r="I99" s="29"/>
      <c r="J99" s="2" t="str">
        <f>IF(AND(ISNUMBER(H99),ISNUMBER(I99)),MAX(0,G99-H99-I99),"")</f>
      </c>
      <c r="K99" s="31" t="str">
        <f>IF(ISNUMBER(G99),IF(G99=0,0,""),"")</f>
      </c>
      <c r="L99" s="32"/>
      <c r="M99" s="31" t="str">
        <f>IF(D99&lt;&gt;"Yes","",IF(ISNUMBER(L99),L99,IF(ISNUMBER(K99),K99,"")))</f>
      </c>
      <c r="N99" s="31" t="str">
        <f>IF(AND(ISNUMBER(G99),ISNUMBER(M99),ISNUMBER($B$7)),G99*M99*(1+$B$7),"")</f>
      </c>
      <c r="O99" s="15" t="str">
        <v>Not assessed</v>
      </c>
      <c r="P99" s="15" t="str">
        <v>Verify exact MPN, ratings, footprint and Rev B retention.</v>
      </c>
      <c r="Q99" s="14" t="str">
        <v>Search (not exact)</v>
      </c>
      <c r="R99" s="33" t="str">
        <f>IF(AND(ISNUMBER(J99),ISNUMBER($B$7)),IF(J99=0,0,IF(ISNUMBER(L99),J99*L99*(1+$B$7),"")),"")</f>
      </c>
      <c r="S99" s="15" t="str">
        <v>No quote / exact selection pending</v>
      </c>
      <c r="T99" s="15" t="str">
        <v>No forecast; use contingency input</v>
      </c>
    </row>
    <row r="100" ht="48" customHeight="1">
      <c r="A100" s="15" t="str">
        <v>J31</v>
      </c>
      <c r="B100" s="15" t="str">
        <v>BM07B-GHS-TBT (LF)(SN)</v>
      </c>
      <c r="C100" s="2" t="n">
        <v>1</v>
      </c>
      <c r="D100" s="29" t="str">
        <v>Yes</v>
      </c>
      <c r="E100" s="2" t="n">
        <f>IF(D100&lt;&gt;"Yes",0,IF(ISNUMBER($B$4),C100*$B$4,""))</f>
        <v>10</v>
      </c>
      <c r="F100" s="15" t="n">
        <f>IF(AND(ISNUMBER(E100),ISNUMBER($B$5),ISNUMBER($B$6)),IF(E100=0,0,ROUNDUP(E100*$B$5,0)+$B$6),"")</f>
        <v>3</v>
      </c>
      <c r="G100" s="2" t="n">
        <f>IF(AND(ISNUMBER(E100),ISNUMBER(F100)),E100+F100,"")</f>
        <v>13</v>
      </c>
      <c r="H100" s="29"/>
      <c r="I100" s="29"/>
      <c r="J100" s="2" t="str">
        <f>IF(AND(ISNUMBER(H100),ISNUMBER(I100)),MAX(0,G100-H100-I100),"")</f>
      </c>
      <c r="K100" s="31" t="str">
        <f>IF(ISNUMBER(G100),IF(G100=0,0,""),"")</f>
      </c>
      <c r="L100" s="32"/>
      <c r="M100" s="31" t="str">
        <f>IF(D100&lt;&gt;"Yes","",IF(ISNUMBER(L100),L100,IF(ISNUMBER(K100),K100,"")))</f>
      </c>
      <c r="N100" s="31" t="str">
        <f>IF(AND(ISNUMBER(G100),ISNUMBER(M100),ISNUMBER($B$7)),G100*M100*(1+$B$7),"")</f>
      </c>
      <c r="O100" s="15" t="str">
        <v>Not assessed</v>
      </c>
      <c r="P100" s="15" t="str">
        <v>Verify exact MPN, ratings, footprint and Rev B retention.</v>
      </c>
      <c r="Q100" s="14" t="str">
        <v>Search (not exact)</v>
      </c>
      <c r="R100" s="33" t="str">
        <f>IF(AND(ISNUMBER(J100),ISNUMBER($B$7)),IF(J100=0,0,IF(ISNUMBER(L100),J100*L100*(1+$B$7),"")),"")</f>
      </c>
      <c r="S100" s="15" t="str">
        <v>No quote / exact selection pending</v>
      </c>
      <c r="T100" s="15" t="str">
        <v>No forecast; use contingency input</v>
      </c>
    </row>
    <row r="101" ht="48" customHeight="1">
      <c r="A101" s="15" t="str">
        <v>J26</v>
      </c>
      <c r="B101" s="15" t="str">
        <v>BM09B-GHS-TBT(LF)(SN)(N)</v>
      </c>
      <c r="C101" s="2" t="n">
        <v>1</v>
      </c>
      <c r="D101" s="29" t="str">
        <v>Yes</v>
      </c>
      <c r="E101" s="2" t="n">
        <f>IF(D101&lt;&gt;"Yes",0,IF(ISNUMBER($B$4),C101*$B$4,""))</f>
        <v>10</v>
      </c>
      <c r="F101" s="15" t="n">
        <f>IF(AND(ISNUMBER(E101),ISNUMBER($B$5),ISNUMBER($B$6)),IF(E101=0,0,ROUNDUP(E101*$B$5,0)+$B$6),"")</f>
        <v>3</v>
      </c>
      <c r="G101" s="2" t="n">
        <f>IF(AND(ISNUMBER(E101),ISNUMBER(F101)),E101+F101,"")</f>
        <v>13</v>
      </c>
      <c r="H101" s="29"/>
      <c r="I101" s="29"/>
      <c r="J101" s="2" t="str">
        <f>IF(AND(ISNUMBER(H101),ISNUMBER(I101)),MAX(0,G101-H101-I101),"")</f>
      </c>
      <c r="K101" s="31" t="str">
        <f>IF(ISNUMBER(G101),IF(G101=0,0,""),"")</f>
      </c>
      <c r="L101" s="32"/>
      <c r="M101" s="31" t="str">
        <f>IF(D101&lt;&gt;"Yes","",IF(ISNUMBER(L101),L101,IF(ISNUMBER(K101),K101,"")))</f>
      </c>
      <c r="N101" s="31" t="str">
        <f>IF(AND(ISNUMBER(G101),ISNUMBER(M101),ISNUMBER($B$7)),G101*M101*(1+$B$7),"")</f>
      </c>
      <c r="O101" s="15" t="str">
        <v>Not assessed</v>
      </c>
      <c r="P101" s="15" t="str">
        <v>Verify exact MPN, ratings, footprint and Rev B retention.</v>
      </c>
      <c r="Q101" s="14" t="str">
        <v>Search (not exact)</v>
      </c>
      <c r="R101" s="33" t="str">
        <f>IF(AND(ISNUMBER(J101),ISNUMBER($B$7)),IF(J101=0,0,IF(ISNUMBER(L101),J101*L101*(1+$B$7),"")),"")</f>
      </c>
      <c r="S101" s="15" t="str">
        <v>No quote / exact selection pending</v>
      </c>
      <c r="T101" s="15" t="str">
        <v>No forecast; use contingency input</v>
      </c>
    </row>
    <row r="102" ht="48" customHeight="1">
      <c r="A102" s="15" t="str">
        <v>J24, J25</v>
      </c>
      <c r="B102" s="15" t="str">
        <v>BM20B-SRDS-G-TF(LF)(SN)</v>
      </c>
      <c r="C102" s="2" t="n">
        <v>2</v>
      </c>
      <c r="D102" s="29" t="str">
        <v>Yes</v>
      </c>
      <c r="E102" s="2" t="n">
        <f>IF(D102&lt;&gt;"Yes",0,IF(ISNUMBER($B$4),C102*$B$4,""))</f>
        <v>20</v>
      </c>
      <c r="F102" s="15" t="n">
        <f>IF(AND(ISNUMBER(E102),ISNUMBER($B$5),ISNUMBER($B$6)),IF(E102=0,0,ROUNDUP(E102*$B$5,0)+$B$6),"")</f>
        <v>4</v>
      </c>
      <c r="G102" s="2" t="n">
        <f>IF(AND(ISNUMBER(E102),ISNUMBER(F102)),E102+F102,"")</f>
        <v>24</v>
      </c>
      <c r="H102" s="29"/>
      <c r="I102" s="29"/>
      <c r="J102" s="2" t="str">
        <f>IF(AND(ISNUMBER(H102),ISNUMBER(I102)),MAX(0,G102-H102-I102),"")</f>
      </c>
      <c r="K102" s="31" t="str">
        <f>IF(ISNUMBER(G102),IF(G102=0,0,""),"")</f>
      </c>
      <c r="L102" s="32"/>
      <c r="M102" s="31" t="str">
        <f>IF(D102&lt;&gt;"Yes","",IF(ISNUMBER(L102),L102,IF(ISNUMBER(K102),K102,"")))</f>
      </c>
      <c r="N102" s="31" t="str">
        <f>IF(AND(ISNUMBER(G102),ISNUMBER(M102),ISNUMBER($B$7)),G102*M102*(1+$B$7),"")</f>
      </c>
      <c r="O102" s="15" t="str">
        <v>Not assessed</v>
      </c>
      <c r="P102" s="15" t="str">
        <v>Verify exact MPN, ratings, footprint and Rev B retention.</v>
      </c>
      <c r="Q102" s="14" t="str">
        <v>Search (not exact)</v>
      </c>
      <c r="R102" s="33" t="str">
        <f>IF(AND(ISNUMBER(J102),ISNUMBER($B$7)),IF(J102=0,0,IF(ISNUMBER(L102),J102*L102*(1+$B$7),"")),"")</f>
      </c>
      <c r="S102" s="15" t="str">
        <v>No quote / exact selection pending</v>
      </c>
      <c r="T102" s="15" t="str">
        <v>No forecast; use contingency input</v>
      </c>
    </row>
    <row r="103" ht="48" customHeight="1">
      <c r="A103" s="15" t="str">
        <v>R55</v>
      </c>
      <c r="B103" s="15" t="str">
        <v>CSS2725FTL250 / LR2725-24R00025F1</v>
      </c>
      <c r="C103" s="2" t="n">
        <v>1</v>
      </c>
      <c r="D103" s="29" t="str">
        <v>Yes</v>
      </c>
      <c r="E103" s="2" t="n">
        <f>IF(D103&lt;&gt;"Yes",0,IF(ISNUMBER($B$4),C103*$B$4,""))</f>
        <v>10</v>
      </c>
      <c r="F103" s="15" t="n">
        <f>IF(AND(ISNUMBER(E103),ISNUMBER($B$5),ISNUMBER($B$6)),IF(E103=0,0,ROUNDUP(E103*$B$5,0)+$B$6),"")</f>
        <v>3</v>
      </c>
      <c r="G103" s="2" t="n">
        <f>IF(AND(ISNUMBER(E103),ISNUMBER(F103)),E103+F103,"")</f>
        <v>13</v>
      </c>
      <c r="H103" s="29"/>
      <c r="I103" s="29"/>
      <c r="J103" s="2" t="str">
        <f>IF(AND(ISNUMBER(H103),ISNUMBER(I103)),MAX(0,G103-H103-I103),"")</f>
      </c>
      <c r="K103" s="31" t="str">
        <f>IF(ISNUMBER(G103),IF(G103=0,0,""),"")</f>
      </c>
      <c r="L103" s="32"/>
      <c r="M103" s="31" t="str">
        <f>IF(D103&lt;&gt;"Yes","",IF(ISNUMBER(L103),L103,IF(ISNUMBER(K103),K103,"")))</f>
      </c>
      <c r="N103" s="31" t="str">
        <f>IF(AND(ISNUMBER(G103),ISNUMBER(M103),ISNUMBER($B$7)),G103*M103*(1+$B$7),"")</f>
      </c>
      <c r="O103" s="15" t="str">
        <v>Not assessed</v>
      </c>
      <c r="P103" s="15" t="str">
        <v>Old power architecture: Rev B replacement planned; do not bulk-buy on these counts.</v>
      </c>
      <c r="Q103" s="14" t="str">
        <v>Search (not exact)</v>
      </c>
      <c r="R103" s="33" t="str">
        <f>IF(AND(ISNUMBER(J103),ISNUMBER($B$7)),IF(J103=0,0,IF(ISNUMBER(L103),J103*L103*(1+$B$7),"")),"")</f>
      </c>
      <c r="S103" s="15" t="str">
        <v>No quote / exact selection pending</v>
      </c>
      <c r="T103" s="15" t="str">
        <v>No forecast; use contingency input</v>
      </c>
    </row>
    <row r="104" ht="48" customHeight="1">
      <c r="A104" s="15" t="str">
        <v>J17</v>
      </c>
      <c r="B104" s="15" t="str">
        <v>DCJ0202</v>
      </c>
      <c r="C104" s="2" t="n">
        <v>1</v>
      </c>
      <c r="D104" s="29" t="str">
        <v>Yes</v>
      </c>
      <c r="E104" s="2" t="n">
        <f>IF(D104&lt;&gt;"Yes",0,IF(ISNUMBER($B$4),C104*$B$4,""))</f>
        <v>10</v>
      </c>
      <c r="F104" s="15" t="n">
        <f>IF(AND(ISNUMBER(E104),ISNUMBER($B$5),ISNUMBER($B$6)),IF(E104=0,0,ROUNDUP(E104*$B$5,0)+$B$6),"")</f>
        <v>3</v>
      </c>
      <c r="G104" s="2" t="n">
        <f>IF(AND(ISNUMBER(E104),ISNUMBER(F104)),E104+F104,"")</f>
        <v>13</v>
      </c>
      <c r="H104" s="29"/>
      <c r="I104" s="29"/>
      <c r="J104" s="2" t="str">
        <f>IF(AND(ISNUMBER(H104),ISNUMBER(I104)),MAX(0,G104-H104-I104),"")</f>
      </c>
      <c r="K104" s="31" t="str">
        <f>IF(ISNUMBER(G104),IF(G104=0,0,""),"")</f>
      </c>
      <c r="L104" s="32"/>
      <c r="M104" s="31" t="str">
        <f>IF(D104&lt;&gt;"Yes","",IF(ISNUMBER(L104),L104,IF(ISNUMBER(K104),K104,"")))</f>
      </c>
      <c r="N104" s="31" t="str">
        <f>IF(AND(ISNUMBER(G104),ISNUMBER(M104),ISNUMBER($B$7)),G104*M104*(1+$B$7),"")</f>
      </c>
      <c r="O104" s="15" t="str">
        <v>Not assessed</v>
      </c>
      <c r="P104" s="15" t="str">
        <v>Old power architecture: Rev B replacement planned; do not bulk-buy on these counts.</v>
      </c>
      <c r="Q104" s="14" t="str">
        <v>Search (not exact)</v>
      </c>
      <c r="R104" s="33" t="str">
        <f>IF(AND(ISNUMBER(J104),ISNUMBER($B$7)),IF(J104=0,0,IF(ISNUMBER(L104),J104*L104*(1+$B$7),"")),"")</f>
      </c>
      <c r="S104" s="15" t="str">
        <v>No quote / exact selection pending</v>
      </c>
      <c r="T104" s="15" t="str">
        <v>No forecast; use contingency input</v>
      </c>
    </row>
    <row r="105" ht="48" customHeight="1">
      <c r="A105" s="15" t="str">
        <v>P1</v>
      </c>
      <c r="B105" s="15" t="str">
        <v>DDR4 SODIMM 260P</v>
      </c>
      <c r="C105" s="2" t="n">
        <v>1</v>
      </c>
      <c r="D105" s="29" t="str">
        <v>Yes</v>
      </c>
      <c r="E105" s="2" t="n">
        <f>IF(D105&lt;&gt;"Yes",0,IF(ISNUMBER($B$4),C105*$B$4,""))</f>
        <v>10</v>
      </c>
      <c r="F105" s="15" t="n">
        <f>IF(AND(ISNUMBER(E105),ISNUMBER($B$5),ISNUMBER($B$6)),IF(E105=0,0,ROUNDUP(E105*$B$5,0)+$B$6),"")</f>
        <v>3</v>
      </c>
      <c r="G105" s="2" t="n">
        <f>IF(AND(ISNUMBER(E105),ISNUMBER(F105)),E105+F105,"")</f>
        <v>13</v>
      </c>
      <c r="H105" s="29"/>
      <c r="I105" s="29"/>
      <c r="J105" s="2" t="str">
        <f>IF(AND(ISNUMBER(H105),ISNUMBER(I105)),MAX(0,G105-H105-I105),"")</f>
      </c>
      <c r="K105" s="31" t="str">
        <f>IF(ISNUMBER(G105),IF(G105=0,0,""),"")</f>
      </c>
      <c r="L105" s="32"/>
      <c r="M105" s="31" t="str">
        <f>IF(D105&lt;&gt;"Yes","",IF(ISNUMBER(L105),L105,IF(ISNUMBER(K105),K105,"")))</f>
      </c>
      <c r="N105" s="31" t="str">
        <f>IF(AND(ISNUMBER(G105),ISNUMBER(M105),ISNUMBER($B$7)),G105*M105*(1+$B$7),"")</f>
      </c>
      <c r="O105" s="15" t="str">
        <v>Not assessed</v>
      </c>
      <c r="P105" s="15" t="str">
        <v>P1 is one multipart connector. Library ID 2309409-1; verify actual connector selection.</v>
      </c>
      <c r="Q105" s="14" t="str">
        <v>Search (not exact)</v>
      </c>
      <c r="R105" s="33" t="str">
        <f>IF(AND(ISNUMBER(J105),ISNUMBER($B$7)),IF(J105=0,0,IF(ISNUMBER(L105),J105*L105*(1+$B$7),"")),"")</f>
      </c>
      <c r="S105" s="15" t="str">
        <v>No quote / exact selection pending</v>
      </c>
      <c r="T105" s="15" t="str">
        <v>No forecast; use contingency input</v>
      </c>
    </row>
    <row r="106" ht="48" customHeight="1">
      <c r="A106" s="15" t="str">
        <v>FL1</v>
      </c>
      <c r="B106" s="15" t="str">
        <v>DEA162500LT-1217A1</v>
      </c>
      <c r="C106" s="2" t="n">
        <v>1</v>
      </c>
      <c r="D106" s="29" t="str">
        <v>Yes</v>
      </c>
      <c r="E106" s="2" t="n">
        <f>IF(D106&lt;&gt;"Yes",0,IF(ISNUMBER($B$4),C106*$B$4,""))</f>
        <v>10</v>
      </c>
      <c r="F106" s="15" t="n">
        <f>IF(AND(ISNUMBER(E106),ISNUMBER($B$5),ISNUMBER($B$6)),IF(E106=0,0,ROUNDUP(E106*$B$5,0)+$B$6),"")</f>
        <v>3</v>
      </c>
      <c r="G106" s="2" t="n">
        <f>IF(AND(ISNUMBER(E106),ISNUMBER(F106)),E106+F106,"")</f>
        <v>13</v>
      </c>
      <c r="H106" s="29"/>
      <c r="I106" s="29"/>
      <c r="J106" s="2" t="str">
        <f>IF(AND(ISNUMBER(H106),ISNUMBER(I106)),MAX(0,G106-H106-I106),"")</f>
      </c>
      <c r="K106" s="31" t="str">
        <f>IF(ISNUMBER(G106),IF(G106=0,0,""),"")</f>
      </c>
      <c r="L106" s="32"/>
      <c r="M106" s="31" t="str">
        <f>IF(D106&lt;&gt;"Yes","",IF(ISNUMBER(L106),L106,IF(ISNUMBER(K106),K106,"")))</f>
      </c>
      <c r="N106" s="31" t="str">
        <f>IF(AND(ISNUMBER(G106),ISNUMBER(M106),ISNUMBER($B$7)),G106*M106*(1+$B$7),"")</f>
      </c>
      <c r="O106" s="15" t="str">
        <v>Not assessed</v>
      </c>
      <c r="P106" s="15" t="str">
        <v>Verify exact MPN, ratings, footprint and Rev B retention.</v>
      </c>
      <c r="Q106" s="14" t="str">
        <v>Search (not exact)</v>
      </c>
      <c r="R106" s="33" t="str">
        <f>IF(AND(ISNUMBER(J106),ISNUMBER($B$7)),IF(J106=0,0,IF(ISNUMBER(L106),J106*L106*(1+$B$7),"")),"")</f>
      </c>
      <c r="S106" s="15" t="str">
        <v>No quote / exact selection pending</v>
      </c>
      <c r="T106" s="15" t="str">
        <v>No forecast; use contingency input</v>
      </c>
    </row>
    <row r="107" ht="48" customHeight="1">
      <c r="A107" s="15" t="str">
        <v>L1, L2, L3</v>
      </c>
      <c r="B107" s="15" t="str">
        <v>FNR6028S3R3NT</v>
      </c>
      <c r="C107" s="2" t="n">
        <v>3</v>
      </c>
      <c r="D107" s="29" t="str">
        <v>Yes</v>
      </c>
      <c r="E107" s="2" t="n">
        <f>IF(D107&lt;&gt;"Yes",0,IF(ISNUMBER($B$4),C107*$B$4,""))</f>
        <v>30</v>
      </c>
      <c r="F107" s="15" t="n">
        <f>IF(AND(ISNUMBER(E107),ISNUMBER($B$5),ISNUMBER($B$6)),IF(E107=0,0,ROUNDUP(E107*$B$5,0)+$B$6),"")</f>
        <v>5</v>
      </c>
      <c r="G107" s="2" t="n">
        <f>IF(AND(ISNUMBER(E107),ISNUMBER(F107)),E107+F107,"")</f>
        <v>35</v>
      </c>
      <c r="H107" s="29"/>
      <c r="I107" s="29"/>
      <c r="J107" s="2" t="str">
        <f>IF(AND(ISNUMBER(H107),ISNUMBER(I107)),MAX(0,G107-H107-I107),"")</f>
      </c>
      <c r="K107" s="31" t="str">
        <f>IF(ISNUMBER(G107),IF(G107=0,0,""),"")</f>
      </c>
      <c r="L107" s="32"/>
      <c r="M107" s="31" t="str">
        <f>IF(D107&lt;&gt;"Yes","",IF(ISNUMBER(L107),L107,IF(ISNUMBER(K107),K107,"")))</f>
      </c>
      <c r="N107" s="31" t="str">
        <f>IF(AND(ISNUMBER(G107),ISNUMBER(M107),ISNUMBER($B$7)),G107*M107*(1+$B$7),"")</f>
      </c>
      <c r="O107" s="15" t="str">
        <v>Not assessed</v>
      </c>
      <c r="P107" s="15" t="str">
        <v>Old power architecture: Rev B replacement planned; do not bulk-buy on these counts.</v>
      </c>
      <c r="Q107" s="14" t="str">
        <v>Search (not exact)</v>
      </c>
      <c r="R107" s="33" t="str">
        <f>IF(AND(ISNUMBER(J107),ISNUMBER($B$7)),IF(J107=0,0,IF(ISNUMBER(L107),J107*L107*(1+$B$7),"")),"")</f>
      </c>
      <c r="S107" s="15" t="str">
        <v>No quote / exact selection pending</v>
      </c>
      <c r="T107" s="15" t="str">
        <v>No forecast; use contingency input</v>
      </c>
    </row>
    <row r="108" ht="48" customHeight="1">
      <c r="A108" s="15" t="str">
        <v>D10, D2</v>
      </c>
      <c r="B108" s="15" t="str">
        <v>GREEN</v>
      </c>
      <c r="C108" s="2" t="n">
        <v>2</v>
      </c>
      <c r="D108" s="29" t="str">
        <v>Yes</v>
      </c>
      <c r="E108" s="2" t="n">
        <f>IF(D108&lt;&gt;"Yes",0,IF(ISNUMBER($B$4),C108*$B$4,""))</f>
        <v>20</v>
      </c>
      <c r="F108" s="15" t="n">
        <f>IF(AND(ISNUMBER(E108),ISNUMBER($B$5),ISNUMBER($B$6)),IF(E108=0,0,ROUNDUP(E108*$B$5,0)+$B$6),"")</f>
        <v>4</v>
      </c>
      <c r="G108" s="2" t="n">
        <f>IF(AND(ISNUMBER(E108),ISNUMBER(F108)),E108+F108,"")</f>
        <v>24</v>
      </c>
      <c r="H108" s="29"/>
      <c r="I108" s="29"/>
      <c r="J108" s="2" t="str">
        <f>IF(AND(ISNUMBER(H108),ISNUMBER(I108)),MAX(0,G108-H108-I108),"")</f>
      </c>
      <c r="K108" s="31" t="str">
        <f>IF(ISNUMBER(G108),IF(G108=0,0,""),"")</f>
      </c>
      <c r="L108" s="32"/>
      <c r="M108" s="31" t="str">
        <f>IF(D108&lt;&gt;"Yes","",IF(ISNUMBER(L108),L108,IF(ISNUMBER(K108),K108,"")))</f>
      </c>
      <c r="N108" s="31" t="str">
        <f>IF(AND(ISNUMBER(G108),ISNUMBER(M108),ISNUMBER($B$7)),G108*M108*(1+$B$7),"")</f>
      </c>
      <c r="O108" s="15" t="str">
        <v>Not assessed</v>
      </c>
      <c r="P108" s="15" t="str">
        <v>Old power architecture: Rev B replacement planned; do not bulk-buy on these counts.</v>
      </c>
      <c r="Q108" s="14" t="str">
        <v>Search (not exact)</v>
      </c>
      <c r="R108" s="33" t="str">
        <f>IF(AND(ISNUMBER(J108),ISNUMBER($B$7)),IF(J108=0,0,IF(ISNUMBER(L108),J108*L108*(1+$B$7),"")),"")</f>
      </c>
      <c r="S108" s="15" t="str">
        <v>No quote / exact selection pending</v>
      </c>
      <c r="T108" s="15" t="str">
        <v>No forecast; use contingency input</v>
      </c>
    </row>
    <row r="109" ht="48" customHeight="1">
      <c r="A109" s="15" t="str">
        <v>IC11</v>
      </c>
      <c r="B109" s="15" t="str">
        <v>INA228AIDGSR</v>
      </c>
      <c r="C109" s="2" t="n">
        <v>1</v>
      </c>
      <c r="D109" s="29" t="str">
        <v>Yes</v>
      </c>
      <c r="E109" s="2" t="n">
        <f>IF(D109&lt;&gt;"Yes",0,IF(ISNUMBER($B$4),C109*$B$4,""))</f>
        <v>10</v>
      </c>
      <c r="F109" s="15" t="n">
        <f>IF(AND(ISNUMBER(E109),ISNUMBER($B$5),ISNUMBER($B$6)),IF(E109=0,0,ROUNDUP(E109*$B$5,0)+$B$6),"")</f>
        <v>3</v>
      </c>
      <c r="G109" s="2" t="n">
        <f>IF(AND(ISNUMBER(E109),ISNUMBER(F109)),E109+F109,"")</f>
        <v>13</v>
      </c>
      <c r="H109" s="29"/>
      <c r="I109" s="29"/>
      <c r="J109" s="2" t="str">
        <f>IF(AND(ISNUMBER(H109),ISNUMBER(I109)),MAX(0,G109-H109-I109),"")</f>
      </c>
      <c r="K109" s="31" t="str">
        <f>IF(ISNUMBER(G109),IF(G109=0,0,""),"")</f>
      </c>
      <c r="L109" s="32"/>
      <c r="M109" s="31" t="str">
        <f>IF(D109&lt;&gt;"Yes","",IF(ISNUMBER(L109),L109,IF(ISNUMBER(K109),K109,"")))</f>
      </c>
      <c r="N109" s="31" t="str">
        <f>IF(AND(ISNUMBER(G109),ISNUMBER(M109),ISNUMBER($B$7)),G109*M109*(1+$B$7),"")</f>
      </c>
      <c r="O109" s="15" t="str">
        <v>Not assessed</v>
      </c>
      <c r="P109" s="15" t="str">
        <v>Old power architecture: Rev B replacement planned; do not bulk-buy on these counts.</v>
      </c>
      <c r="Q109" s="14" t="str">
        <v>Search (not exact)</v>
      </c>
      <c r="R109" s="33" t="str">
        <f>IF(AND(ISNUMBER(J109),ISNUMBER($B$7)),IF(J109=0,0,IF(ISNUMBER(L109),J109*L109*(1+$B$7),"")),"")</f>
      </c>
      <c r="S109" s="15" t="str">
        <v>No quote / exact selection pending</v>
      </c>
      <c r="T109" s="15" t="str">
        <v>No forecast; use contingency input</v>
      </c>
    </row>
    <row r="110" ht="48" customHeight="1">
      <c r="A110" s="15" t="str">
        <v>U21, U22, U4</v>
      </c>
      <c r="B110" s="15" t="str">
        <v>LM73100RPWR</v>
      </c>
      <c r="C110" s="2" t="n">
        <v>3</v>
      </c>
      <c r="D110" s="29" t="str">
        <v>Yes</v>
      </c>
      <c r="E110" s="2" t="n">
        <f>IF(D110&lt;&gt;"Yes",0,IF(ISNUMBER($B$4),C110*$B$4,""))</f>
        <v>30</v>
      </c>
      <c r="F110" s="15" t="n">
        <f>IF(AND(ISNUMBER(E110),ISNUMBER($B$5),ISNUMBER($B$6)),IF(E110=0,0,ROUNDUP(E110*$B$5,0)+$B$6),"")</f>
        <v>5</v>
      </c>
      <c r="G110" s="2" t="n">
        <f>IF(AND(ISNUMBER(E110),ISNUMBER(F110)),E110+F110,"")</f>
        <v>35</v>
      </c>
      <c r="H110" s="29"/>
      <c r="I110" s="29"/>
      <c r="J110" s="2" t="str">
        <f>IF(AND(ISNUMBER(H110),ISNUMBER(I110)),MAX(0,G110-H110-I110),"")</f>
      </c>
      <c r="K110" s="31" t="str">
        <f>IF(ISNUMBER(G110),IF(G110=0,0,""),"")</f>
      </c>
      <c r="L110" s="32"/>
      <c r="M110" s="31" t="str">
        <f>IF(D110&lt;&gt;"Yes","",IF(ISNUMBER(L110),L110,IF(ISNUMBER(K110),K110,"")))</f>
      </c>
      <c r="N110" s="31" t="str">
        <f>IF(AND(ISNUMBER(G110),ISNUMBER(M110),ISNUMBER($B$7)),G110*M110*(1+$B$7),"")</f>
      </c>
      <c r="O110" s="15" t="str">
        <v>Not assessed</v>
      </c>
      <c r="P110" s="15" t="str">
        <v>Old power architecture: Rev B replacement planned; do not bulk-buy on these counts.</v>
      </c>
      <c r="Q110" s="14" t="str">
        <v>Search (not exact)</v>
      </c>
      <c r="R110" s="33" t="str">
        <f>IF(AND(ISNUMBER(J110),ISNUMBER($B$7)),IF(J110=0,0,IF(ISNUMBER(L110),J110*L110*(1+$B$7),"")),"")</f>
      </c>
      <c r="S110" s="15" t="str">
        <v>No quote / exact selection pending</v>
      </c>
      <c r="T110" s="15" t="str">
        <v>No forecast; use contingency input</v>
      </c>
    </row>
    <row r="111" ht="48" customHeight="1">
      <c r="A111" s="15" t="str">
        <v>L5</v>
      </c>
      <c r="B111" s="15" t="str">
        <v>LQW15AN2N5B00D</v>
      </c>
      <c r="C111" s="2" t="n">
        <v>1</v>
      </c>
      <c r="D111" s="29" t="str">
        <v>Yes</v>
      </c>
      <c r="E111" s="2" t="n">
        <f>IF(D111&lt;&gt;"Yes",0,IF(ISNUMBER($B$4),C111*$B$4,""))</f>
        <v>10</v>
      </c>
      <c r="F111" s="15" t="n">
        <f>IF(AND(ISNUMBER(E111),ISNUMBER($B$5),ISNUMBER($B$6)),IF(E111=0,0,ROUNDUP(E111*$B$5,0)+$B$6),"")</f>
        <v>3</v>
      </c>
      <c r="G111" s="2" t="n">
        <f>IF(AND(ISNUMBER(E111),ISNUMBER(F111)),E111+F111,"")</f>
        <v>13</v>
      </c>
      <c r="H111" s="29"/>
      <c r="I111" s="29"/>
      <c r="J111" s="2" t="str">
        <f>IF(AND(ISNUMBER(H111),ISNUMBER(I111)),MAX(0,G111-H111-I111),"")</f>
      </c>
      <c r="K111" s="31" t="str">
        <f>IF(ISNUMBER(G111),IF(G111=0,0,""),"")</f>
      </c>
      <c r="L111" s="32"/>
      <c r="M111" s="31" t="str">
        <f>IF(D111&lt;&gt;"Yes","",IF(ISNUMBER(L111),L111,IF(ISNUMBER(K111),K111,"")))</f>
      </c>
      <c r="N111" s="31" t="str">
        <f>IF(AND(ISNUMBER(G111),ISNUMBER(M111),ISNUMBER($B$7)),G111*M111*(1+$B$7),"")</f>
      </c>
      <c r="O111" s="15" t="str">
        <v>Not assessed</v>
      </c>
      <c r="P111" s="15" t="str">
        <v>Verify exact MPN, ratings, footprint and Rev B retention.</v>
      </c>
      <c r="Q111" s="14" t="str">
        <v>Search (not exact)</v>
      </c>
      <c r="R111" s="33" t="str">
        <f>IF(AND(ISNUMBER(J111),ISNUMBER($B$7)),IF(J111=0,0,IF(ISNUMBER(L111),J111*L111*(1+$B$7),"")),"")</f>
      </c>
      <c r="S111" s="15" t="str">
        <v>No quote / exact selection pending</v>
      </c>
      <c r="T111" s="15" t="str">
        <v>No forecast; use contingency input</v>
      </c>
    </row>
    <row r="112" ht="48" customHeight="1">
      <c r="A112" s="15" t="str">
        <v>L4</v>
      </c>
      <c r="B112" s="15" t="str">
        <v>LQW15AN3N0B80D</v>
      </c>
      <c r="C112" s="2" t="n">
        <v>1</v>
      </c>
      <c r="D112" s="29" t="str">
        <v>Yes</v>
      </c>
      <c r="E112" s="2" t="n">
        <f>IF(D112&lt;&gt;"Yes",0,IF(ISNUMBER($B$4),C112*$B$4,""))</f>
        <v>10</v>
      </c>
      <c r="F112" s="15" t="n">
        <f>IF(AND(ISNUMBER(E112),ISNUMBER($B$5),ISNUMBER($B$6)),IF(E112=0,0,ROUNDUP(E112*$B$5,0)+$B$6),"")</f>
        <v>3</v>
      </c>
      <c r="G112" s="2" t="n">
        <f>IF(AND(ISNUMBER(E112),ISNUMBER(F112)),E112+F112,"")</f>
        <v>13</v>
      </c>
      <c r="H112" s="29"/>
      <c r="I112" s="29"/>
      <c r="J112" s="2" t="str">
        <f>IF(AND(ISNUMBER(H112),ISNUMBER(I112)),MAX(0,G112-H112-I112),"")</f>
      </c>
      <c r="K112" s="31" t="str">
        <f>IF(ISNUMBER(G112),IF(G112=0,0,""),"")</f>
      </c>
      <c r="L112" s="32"/>
      <c r="M112" s="31" t="str">
        <f>IF(D112&lt;&gt;"Yes","",IF(ISNUMBER(L112),L112,IF(ISNUMBER(K112),K112,"")))</f>
      </c>
      <c r="N112" s="31" t="str">
        <f>IF(AND(ISNUMBER(G112),ISNUMBER(M112),ISNUMBER($B$7)),G112*M112*(1+$B$7),"")</f>
      </c>
      <c r="O112" s="15" t="str">
        <v>Not assessed</v>
      </c>
      <c r="P112" s="15" t="str">
        <v>Verify exact MPN, ratings, footprint and Rev B retention.</v>
      </c>
      <c r="Q112" s="14" t="str">
        <v>Search (not exact)</v>
      </c>
      <c r="R112" s="33" t="str">
        <f>IF(AND(ISNUMBER(J112),ISNUMBER($B$7)),IF(J112=0,0,IF(ISNUMBER(L112),J112*L112*(1+$B$7),"")),"")</f>
      </c>
      <c r="S112" s="15" t="str">
        <v>No quote / exact selection pending</v>
      </c>
      <c r="T112" s="15" t="str">
        <v>No forecast; use contingency input</v>
      </c>
    </row>
    <row r="113" ht="48" customHeight="1">
      <c r="A113" s="15" t="str">
        <v>IC5, IC4, IC13</v>
      </c>
      <c r="B113" s="15" t="str">
        <v>MAX3051EKA+T</v>
      </c>
      <c r="C113" s="2" t="n">
        <v>3</v>
      </c>
      <c r="D113" s="29" t="str">
        <v>Yes</v>
      </c>
      <c r="E113" s="2" t="n">
        <f>IF(D113&lt;&gt;"Yes",0,IF(ISNUMBER($B$4),C113*$B$4,""))</f>
        <v>30</v>
      </c>
      <c r="F113" s="15" t="n">
        <f>IF(AND(ISNUMBER(E113),ISNUMBER($B$5),ISNUMBER($B$6)),IF(E113=0,0,ROUNDUP(E113*$B$5,0)+$B$6),"")</f>
        <v>5</v>
      </c>
      <c r="G113" s="2" t="n">
        <f>IF(AND(ISNUMBER(E113),ISNUMBER(F113)),E113+F113,"")</f>
        <v>35</v>
      </c>
      <c r="H113" s="29"/>
      <c r="I113" s="29"/>
      <c r="J113" s="2" t="str">
        <f>IF(AND(ISNUMBER(H113),ISNUMBER(I113)),MAX(0,G113-H113-I113),"")</f>
      </c>
      <c r="K113" s="31" t="str">
        <f>IF(ISNUMBER(G113),IF(G113=0,0,""),"")</f>
      </c>
      <c r="L113" s="32"/>
      <c r="M113" s="31" t="str">
        <f>IF(D113&lt;&gt;"Yes","",IF(ISNUMBER(L113),L113,IF(ISNUMBER(K113),K113,"")))</f>
      </c>
      <c r="N113" s="31" t="str">
        <f>IF(AND(ISNUMBER(G113),ISNUMBER(M113),ISNUMBER($B$7)),G113*M113*(1+$B$7),"")</f>
      </c>
      <c r="O113" s="15" t="str">
        <v>Not assessed</v>
      </c>
      <c r="P113" s="15" t="str">
        <v>Verify exact MPN, ratings, footprint and Rev B retention.</v>
      </c>
      <c r="Q113" s="14" t="str">
        <v>Search (not exact)</v>
      </c>
      <c r="R113" s="33" t="str">
        <f>IF(AND(ISNUMBER(J113),ISNUMBER($B$7)),IF(J113=0,0,IF(ISNUMBER(L113),J113*L113*(1+$B$7),"")),"")</f>
      </c>
      <c r="S113" s="15" t="str">
        <v>No quote / exact selection pending</v>
      </c>
      <c r="T113" s="15" t="str">
        <v>No forecast; use contingency input</v>
      </c>
    </row>
    <row r="114" ht="48" customHeight="1">
      <c r="A114" s="15" t="str">
        <v>D3, D1</v>
      </c>
      <c r="B114" s="15" t="str">
        <v>RED</v>
      </c>
      <c r="C114" s="2" t="n">
        <v>2</v>
      </c>
      <c r="D114" s="29" t="str">
        <v>Yes</v>
      </c>
      <c r="E114" s="2" t="n">
        <f>IF(D114&lt;&gt;"Yes",0,IF(ISNUMBER($B$4),C114*$B$4,""))</f>
        <v>20</v>
      </c>
      <c r="F114" s="15" t="n">
        <f>IF(AND(ISNUMBER(E114),ISNUMBER($B$5),ISNUMBER($B$6)),IF(E114=0,0,ROUNDUP(E114*$B$5,0)+$B$6),"")</f>
        <v>4</v>
      </c>
      <c r="G114" s="2" t="n">
        <f>IF(AND(ISNUMBER(E114),ISNUMBER(F114)),E114+F114,"")</f>
        <v>24</v>
      </c>
      <c r="H114" s="29"/>
      <c r="I114" s="29"/>
      <c r="J114" s="2" t="str">
        <f>IF(AND(ISNUMBER(H114),ISNUMBER(I114)),MAX(0,G114-H114-I114),"")</f>
      </c>
      <c r="K114" s="31" t="str">
        <f>IF(ISNUMBER(G114),IF(G114=0,0,""),"")</f>
      </c>
      <c r="L114" s="32"/>
      <c r="M114" s="31" t="str">
        <f>IF(D114&lt;&gt;"Yes","",IF(ISNUMBER(L114),L114,IF(ISNUMBER(K114),K114,"")))</f>
      </c>
      <c r="N114" s="31" t="str">
        <f>IF(AND(ISNUMBER(G114),ISNUMBER(M114),ISNUMBER($B$7)),G114*M114*(1+$B$7),"")</f>
      </c>
      <c r="O114" s="15" t="str">
        <v>Not assessed</v>
      </c>
      <c r="P114" s="15" t="str">
        <v>Old power architecture: Rev B replacement planned; do not bulk-buy on these counts.</v>
      </c>
      <c r="Q114" s="14" t="str">
        <v>Search (not exact)</v>
      </c>
      <c r="R114" s="33" t="str">
        <f>IF(AND(ISNUMBER(J114),ISNUMBER($B$7)),IF(J114=0,0,IF(ISNUMBER(L114),J114*L114*(1+$B$7),"")),"")</f>
      </c>
      <c r="S114" s="15" t="str">
        <v>No quote / exact selection pending</v>
      </c>
      <c r="T114" s="15" t="str">
        <v>No forecast; use contingency input</v>
      </c>
    </row>
    <row r="115" ht="48" customHeight="1">
      <c r="A115" s="15" t="str">
        <v>U11</v>
      </c>
      <c r="B115" s="15" t="str">
        <v>STM32F030F4P6TR</v>
      </c>
      <c r="C115" s="2" t="n">
        <v>1</v>
      </c>
      <c r="D115" s="29" t="str">
        <v>Yes</v>
      </c>
      <c r="E115" s="2" t="n">
        <f>IF(D115&lt;&gt;"Yes",0,IF(ISNUMBER($B$4),C115*$B$4,""))</f>
        <v>10</v>
      </c>
      <c r="F115" s="15" t="n">
        <f>IF(AND(ISNUMBER(E115),ISNUMBER($B$5),ISNUMBER($B$6)),IF(E115=0,0,ROUNDUP(E115*$B$5,0)+$B$6),"")</f>
        <v>3</v>
      </c>
      <c r="G115" s="2" t="n">
        <f>IF(AND(ISNUMBER(E115),ISNUMBER(F115)),E115+F115,"")</f>
        <v>13</v>
      </c>
      <c r="H115" s="29"/>
      <c r="I115" s="29"/>
      <c r="J115" s="2" t="str">
        <f>IF(AND(ISNUMBER(H115),ISNUMBER(I115)),MAX(0,G115-H115-I115),"")</f>
      </c>
      <c r="K115" s="31" t="str">
        <f>IF(ISNUMBER(G115),IF(G115=0,0,""),"")</f>
      </c>
      <c r="L115" s="32"/>
      <c r="M115" s="31" t="str">
        <f>IF(D115&lt;&gt;"Yes","",IF(ISNUMBER(L115),L115,IF(ISNUMBER(K115),K115,"")))</f>
      </c>
      <c r="N115" s="31" t="str">
        <f>IF(AND(ISNUMBER(G115),ISNUMBER(M115),ISNUMBER($B$7)),G115*M115*(1+$B$7),"")</f>
      </c>
      <c r="O115" s="15" t="str">
        <v>Not assessed</v>
      </c>
      <c r="P115" s="15" t="str">
        <v>Old power architecture: Rev B replacement planned; do not bulk-buy on these counts.</v>
      </c>
      <c r="Q115" s="14" t="str">
        <v>Search (not exact)</v>
      </c>
      <c r="R115" s="33" t="str">
        <f>IF(AND(ISNUMBER(J115),ISNUMBER($B$7)),IF(J115=0,0,IF(ISNUMBER(L115),J115*L115*(1+$B$7),"")),"")</f>
      </c>
      <c r="S115" s="15" t="str">
        <v>No quote / exact selection pending</v>
      </c>
      <c r="T115" s="15" t="str">
        <v>No forecast; use contingency input</v>
      </c>
    </row>
    <row r="116" ht="48" customHeight="1">
      <c r="A116" s="15" t="str">
        <v>J23, J5, J11</v>
      </c>
      <c r="B116" s="15" t="str">
        <v>TC2030-NL-FP / TC2030-NL</v>
      </c>
      <c r="C116" s="2" t="n">
        <v>3</v>
      </c>
      <c r="D116" s="29" t="str">
        <v>No</v>
      </c>
      <c r="E116" s="2" t="n">
        <f>IF(D116&lt;&gt;"Yes",0,IF(ISNUMBER($B$4),C116*$B$4,""))</f>
        <v>0</v>
      </c>
      <c r="F116" s="15" t="n">
        <f>IF(AND(ISNUMBER(E116),ISNUMBER($B$5),ISNUMBER($B$6)),IF(E116=0,0,ROUNDUP(E116*$B$5,0)+$B$6),"")</f>
        <v>0</v>
      </c>
      <c r="G116" s="2" t="n">
        <f>IF(AND(ISNUMBER(E116),ISNUMBER(F116)),E116+F116,"")</f>
        <v>0</v>
      </c>
      <c r="H116" s="29"/>
      <c r="I116" s="29"/>
      <c r="J116" s="2" t="str">
        <f>IF(AND(ISNUMBER(H116),ISNUMBER(I116)),MAX(0,G116-H116-I116),"")</f>
      </c>
      <c r="K116" s="31" t="n">
        <f>IF(ISNUMBER(G116),IF(G116=0,0,""),"")</f>
        <v>0</v>
      </c>
      <c r="L116" s="32"/>
      <c r="M116" s="31" t="str">
        <f>IF(D116&lt;&gt;"Yes","",IF(ISNUMBER(L116),L116,IF(ISNUMBER(K116),K116,"")))</f>
      </c>
      <c r="N116" s="31" t="str">
        <f>IF(AND(ISNUMBER(G116),ISNUMBER(M116),ISNUMBER($B$7)),G116*M116*(1+$B$7),"")</f>
      </c>
      <c r="O116" s="15" t="str">
        <v>Not assessed</v>
      </c>
      <c r="P116" s="15" t="str">
        <v>Bare programming footprint, not a mounted connector. Buy reusable programming cable separately.</v>
      </c>
      <c r="Q116" s="14" t="str">
        <v>Search (not exact)</v>
      </c>
      <c r="R116" s="33" t="str">
        <f>IF(AND(ISNUMBER(J116),ISNUMBER($B$7)),IF(J116=0,0,IF(ISNUMBER(L116),J116*L116*(1+$B$7),"")),"")</f>
      </c>
      <c r="S116" s="15" t="str">
        <v>No quote / exact selection pending</v>
      </c>
      <c r="T116" s="15" t="str">
        <v>No forecast; use contingency input</v>
      </c>
    </row>
    <row r="117" ht="48" customHeight="1">
      <c r="A117" s="15" t="str">
        <v>LED1</v>
      </c>
      <c r="B117" s="15" t="str">
        <v>TC5050RGBF08-3CJH-AF53A / XL-5050RGBC</v>
      </c>
      <c r="C117" s="2" t="n">
        <v>1</v>
      </c>
      <c r="D117" s="29" t="str">
        <v>Yes</v>
      </c>
      <c r="E117" s="2" t="n">
        <f>IF(D117&lt;&gt;"Yes",0,IF(ISNUMBER($B$4),C117*$B$4,""))</f>
        <v>10</v>
      </c>
      <c r="F117" s="15" t="n">
        <f>IF(AND(ISNUMBER(E117),ISNUMBER($B$5),ISNUMBER($B$6)),IF(E117=0,0,ROUNDUP(E117*$B$5,0)+$B$6),"")</f>
        <v>3</v>
      </c>
      <c r="G117" s="2" t="n">
        <f>IF(AND(ISNUMBER(E117),ISNUMBER(F117)),E117+F117,"")</f>
        <v>13</v>
      </c>
      <c r="H117" s="29"/>
      <c r="I117" s="29"/>
      <c r="J117" s="2" t="str">
        <f>IF(AND(ISNUMBER(H117),ISNUMBER(I117)),MAX(0,G117-H117-I117),"")</f>
      </c>
      <c r="K117" s="31" t="str">
        <f>IF(ISNUMBER(G117),IF(G117=0,0,""),"")</f>
      </c>
      <c r="L117" s="32"/>
      <c r="M117" s="31" t="str">
        <f>IF(D117&lt;&gt;"Yes","",IF(ISNUMBER(L117),L117,IF(ISNUMBER(K117),K117,"")))</f>
      </c>
      <c r="N117" s="31" t="str">
        <f>IF(AND(ISNUMBER(G117),ISNUMBER(M117),ISNUMBER($B$7)),G117*M117*(1+$B$7),"")</f>
      </c>
      <c r="O117" s="15" t="str">
        <v>Not assessed</v>
      </c>
      <c r="P117" s="15" t="str">
        <v>Verify exact MPN, ratings, footprint and Rev B retention.</v>
      </c>
      <c r="Q117" s="14" t="str">
        <v>Search (not exact)</v>
      </c>
      <c r="R117" s="33" t="str">
        <f>IF(AND(ISNUMBER(J117),ISNUMBER($B$7)),IF(J117=0,0,IF(ISNUMBER(L117),J117*L117*(1+$B$7),"")),"")</f>
      </c>
      <c r="S117" s="15" t="str">
        <v>No quote / exact selection pending</v>
      </c>
      <c r="T117" s="15" t="str">
        <v>No forecast; use contingency input</v>
      </c>
    </row>
    <row r="118" ht="48" customHeight="1">
      <c r="A118" s="15" t="str">
        <v>IC12</v>
      </c>
      <c r="B118" s="15" t="str">
        <v>TMUX1309PWR</v>
      </c>
      <c r="C118" s="2" t="n">
        <v>1</v>
      </c>
      <c r="D118" s="29" t="str">
        <v>Yes</v>
      </c>
      <c r="E118" s="2" t="n">
        <f>IF(D118&lt;&gt;"Yes",0,IF(ISNUMBER($B$4),C118*$B$4,""))</f>
        <v>10</v>
      </c>
      <c r="F118" s="15" t="n">
        <f>IF(AND(ISNUMBER(E118),ISNUMBER($B$5),ISNUMBER($B$6)),IF(E118=0,0,ROUNDUP(E118*$B$5,0)+$B$6),"")</f>
        <v>3</v>
      </c>
      <c r="G118" s="2" t="n">
        <f>IF(AND(ISNUMBER(E118),ISNUMBER(F118)),E118+F118,"")</f>
        <v>13</v>
      </c>
      <c r="H118" s="29"/>
      <c r="I118" s="29"/>
      <c r="J118" s="2" t="str">
        <f>IF(AND(ISNUMBER(H118),ISNUMBER(I118)),MAX(0,G118-H118-I118),"")</f>
      </c>
      <c r="K118" s="31" t="str">
        <f>IF(ISNUMBER(G118),IF(G118=0,0,""),"")</f>
      </c>
      <c r="L118" s="32"/>
      <c r="M118" s="31" t="str">
        <f>IF(D118&lt;&gt;"Yes","",IF(ISNUMBER(L118),L118,IF(ISNUMBER(K118),K118,"")))</f>
      </c>
      <c r="N118" s="31" t="str">
        <f>IF(AND(ISNUMBER(G118),ISNUMBER(M118),ISNUMBER($B$7)),G118*M118*(1+$B$7),"")</f>
      </c>
      <c r="O118" s="15" t="str">
        <v>Not assessed</v>
      </c>
      <c r="P118" s="15" t="str">
        <v>Verify exact MPN, ratings, footprint and Rev B retention.</v>
      </c>
      <c r="Q118" s="14" t="str">
        <v>Search (not exact)</v>
      </c>
      <c r="R118" s="33" t="str">
        <f>IF(AND(ISNUMBER(J118),ISNUMBER($B$7)),IF(J118=0,0,IF(ISNUMBER(L118),J118*L118*(1+$B$7),"")),"")</f>
      </c>
      <c r="S118" s="15" t="str">
        <v>No quote / exact selection pending</v>
      </c>
      <c r="T118" s="15" t="str">
        <v>No forecast; use contingency input</v>
      </c>
    </row>
    <row r="119" ht="48" customHeight="1">
      <c r="A119" s="15" t="str">
        <v>X3</v>
      </c>
      <c r="B119" s="15" t="str">
        <v>TSX-3225 24.0000MF15X-AC / 16MHz</v>
      </c>
      <c r="C119" s="2" t="n">
        <v>1</v>
      </c>
      <c r="D119" s="29" t="str">
        <v>No</v>
      </c>
      <c r="E119" s="2" t="n">
        <f>IF(D119&lt;&gt;"Yes",0,IF(ISNUMBER($B$4),C119*$B$4,""))</f>
        <v>0</v>
      </c>
      <c r="F119" s="15" t="n">
        <f>IF(AND(ISNUMBER(E119),ISNUMBER($B$5),ISNUMBER($B$6)),IF(E119=0,0,ROUNDUP(E119*$B$5,0)+$B$6),"")</f>
        <v>0</v>
      </c>
      <c r="G119" s="2" t="n">
        <f>IF(AND(ISNUMBER(E119),ISNUMBER(F119)),E119+F119,"")</f>
        <v>0</v>
      </c>
      <c r="H119" s="29"/>
      <c r="I119" s="29"/>
      <c r="J119" s="2" t="str">
        <f>IF(AND(ISNUMBER(H119),ISNUMBER(I119)),MAX(0,G119-H119-I119),"")</f>
      </c>
      <c r="K119" s="31" t="n">
        <f>IF(ISNUMBER(G119),IF(G119=0,0,""),"")</f>
        <v>0</v>
      </c>
      <c r="L119" s="32"/>
      <c r="M119" s="31" t="str">
        <f>IF(D119&lt;&gt;"Yes","",IF(ISNUMBER(L119),L119,IF(ISNUMBER(K119),K119,"")))</f>
      </c>
      <c r="N119" s="31" t="str">
        <f>IF(AND(ISNUMBER(G119),ISNUMBER(M119),ISNUMBER($B$7)),G119*M119*(1+$B$7),"")</f>
      </c>
      <c r="O119" s="15" t="str">
        <v>Not assessed</v>
      </c>
      <c r="P119" s="15" t="str">
        <v>HOLD: MPN says 24 MHz; source value says 16MHz.</v>
      </c>
      <c r="Q119" s="14" t="str">
        <v>Search (not exact)</v>
      </c>
      <c r="R119" s="33" t="str">
        <f>IF(AND(ISNUMBER(J119),ISNUMBER($B$7)),IF(J119=0,0,IF(ISNUMBER(L119),J119*L119*(1+$B$7),"")),"")</f>
      </c>
      <c r="S119" s="15" t="str">
        <v>No quote / exact selection pending</v>
      </c>
      <c r="T119" s="15" t="str">
        <v>No forecast; use contingency input</v>
      </c>
    </row>
    <row r="120" ht="48" customHeight="1">
      <c r="A120" s="15" t="str">
        <v>X1, X4, X2</v>
      </c>
      <c r="B120" s="15" t="str">
        <v>TSX-3225 24.0000MF15X-AC / 25MHz</v>
      </c>
      <c r="C120" s="2" t="n">
        <v>3</v>
      </c>
      <c r="D120" s="29" t="str">
        <v>No</v>
      </c>
      <c r="E120" s="2" t="n">
        <f>IF(D120&lt;&gt;"Yes",0,IF(ISNUMBER($B$4),C120*$B$4,""))</f>
        <v>0</v>
      </c>
      <c r="F120" s="15" t="n">
        <f>IF(AND(ISNUMBER(E120),ISNUMBER($B$5),ISNUMBER($B$6)),IF(E120=0,0,ROUNDUP(E120*$B$5,0)+$B$6),"")</f>
        <v>0</v>
      </c>
      <c r="G120" s="2" t="n">
        <f>IF(AND(ISNUMBER(E120),ISNUMBER(F120)),E120+F120,"")</f>
        <v>0</v>
      </c>
      <c r="H120" s="29"/>
      <c r="I120" s="29"/>
      <c r="J120" s="2" t="str">
        <f>IF(AND(ISNUMBER(H120),ISNUMBER(I120)),MAX(0,G120-H120-I120),"")</f>
      </c>
      <c r="K120" s="31" t="n">
        <f>IF(ISNUMBER(G120),IF(G120=0,0,""),"")</f>
        <v>0</v>
      </c>
      <c r="L120" s="32"/>
      <c r="M120" s="31" t="str">
        <f>IF(D120&lt;&gt;"Yes","",IF(ISNUMBER(L120),L120,IF(ISNUMBER(K120),K120,"")))</f>
      </c>
      <c r="N120" s="31" t="str">
        <f>IF(AND(ISNUMBER(G120),ISNUMBER(M120),ISNUMBER($B$7)),G120*M120*(1+$B$7),"")</f>
      </c>
      <c r="O120" s="15" t="str">
        <v>Not assessed</v>
      </c>
      <c r="P120" s="15" t="str">
        <v>HOLD: MPN says 24 MHz; source value says 25MHz.</v>
      </c>
      <c r="Q120" s="14" t="str">
        <v>Search (not exact)</v>
      </c>
      <c r="R120" s="33" t="str">
        <f>IF(AND(ISNUMBER(J120),ISNUMBER($B$7)),IF(J120=0,0,IF(ISNUMBER(L120),J120*L120*(1+$B$7),"")),"")</f>
      </c>
      <c r="S120" s="15" t="str">
        <v>No quote / exact selection pending</v>
      </c>
      <c r="T120" s="15" t="str">
        <v>No forecast; use contingency input</v>
      </c>
    </row>
    <row r="121" ht="48" customHeight="1">
      <c r="A121" s="15" t="str">
        <v>X6</v>
      </c>
      <c r="B121" s="15" t="str">
        <v>TSX-3225 24.0000MF15X-AC / 38.4 MHz</v>
      </c>
      <c r="C121" s="2" t="n">
        <v>1</v>
      </c>
      <c r="D121" s="29" t="str">
        <v>No</v>
      </c>
      <c r="E121" s="2" t="n">
        <f>IF(D121&lt;&gt;"Yes",0,IF(ISNUMBER($B$4),C121*$B$4,""))</f>
        <v>0</v>
      </c>
      <c r="F121" s="15" t="n">
        <f>IF(AND(ISNUMBER(E121),ISNUMBER($B$5),ISNUMBER($B$6)),IF(E121=0,0,ROUNDUP(E121*$B$5,0)+$B$6),"")</f>
        <v>0</v>
      </c>
      <c r="G121" s="2" t="n">
        <f>IF(AND(ISNUMBER(E121),ISNUMBER(F121)),E121+F121,"")</f>
        <v>0</v>
      </c>
      <c r="H121" s="29"/>
      <c r="I121" s="29"/>
      <c r="J121" s="2" t="str">
        <f>IF(AND(ISNUMBER(H121),ISNUMBER(I121)),MAX(0,G121-H121-I121),"")</f>
      </c>
      <c r="K121" s="31" t="n">
        <f>IF(ISNUMBER(G121),IF(G121=0,0,""),"")</f>
        <v>0</v>
      </c>
      <c r="L121" s="32"/>
      <c r="M121" s="31" t="str">
        <f>IF(D121&lt;&gt;"Yes","",IF(ISNUMBER(L121),L121,IF(ISNUMBER(K121),K121,"")))</f>
      </c>
      <c r="N121" s="31" t="str">
        <f>IF(AND(ISNUMBER(G121),ISNUMBER(M121),ISNUMBER($B$7)),G121*M121*(1+$B$7),"")</f>
      </c>
      <c r="O121" s="15" t="str">
        <v>Not assessed</v>
      </c>
      <c r="P121" s="15" t="str">
        <v>HOLD: MPN says 24 MHz; source value says 38.4 MHz.</v>
      </c>
      <c r="Q121" s="14" t="str">
        <v>Search (not exact)</v>
      </c>
      <c r="R121" s="33" t="str">
        <f>IF(AND(ISNUMBER(J121),ISNUMBER($B$7)),IF(J121=0,0,IF(ISNUMBER(L121),J121*L121*(1+$B$7),"")),"")</f>
      </c>
      <c r="S121" s="15" t="str">
        <v>No quote / exact selection pending</v>
      </c>
      <c r="T121" s="15" t="str">
        <v>No forecast; use contingency input</v>
      </c>
    </row>
    <row r="122" ht="48" customHeight="1">
      <c r="A122" s="15" t="str">
        <v>X5</v>
      </c>
      <c r="B122" s="15" t="str">
        <v>TSX-3225 24.0000MF15X-AC / 52MHz 10pF</v>
      </c>
      <c r="C122" s="2" t="n">
        <v>1</v>
      </c>
      <c r="D122" s="29" t="str">
        <v>No</v>
      </c>
      <c r="E122" s="2" t="n">
        <f>IF(D122&lt;&gt;"Yes",0,IF(ISNUMBER($B$4),C122*$B$4,""))</f>
        <v>0</v>
      </c>
      <c r="F122" s="15" t="n">
        <f>IF(AND(ISNUMBER(E122),ISNUMBER($B$5),ISNUMBER($B$6)),IF(E122=0,0,ROUNDUP(E122*$B$5,0)+$B$6),"")</f>
        <v>0</v>
      </c>
      <c r="G122" s="2" t="n">
        <f>IF(AND(ISNUMBER(E122),ISNUMBER(F122)),E122+F122,"")</f>
        <v>0</v>
      </c>
      <c r="H122" s="29"/>
      <c r="I122" s="29"/>
      <c r="J122" s="2" t="str">
        <f>IF(AND(ISNUMBER(H122),ISNUMBER(I122)),MAX(0,G122-H122-I122),"")</f>
      </c>
      <c r="K122" s="31" t="n">
        <f>IF(ISNUMBER(G122),IF(G122=0,0,""),"")</f>
        <v>0</v>
      </c>
      <c r="L122" s="32"/>
      <c r="M122" s="31" t="str">
        <f>IF(D122&lt;&gt;"Yes","",IF(ISNUMBER(L122),L122,IF(ISNUMBER(K122),K122,"")))</f>
      </c>
      <c r="N122" s="31" t="str">
        <f>IF(AND(ISNUMBER(G122),ISNUMBER(M122),ISNUMBER($B$7)),G122*M122*(1+$B$7),"")</f>
      </c>
      <c r="O122" s="15" t="str">
        <v>Not assessed</v>
      </c>
      <c r="P122" s="15" t="str">
        <v>HOLD: MPN says 24 MHz; source value says 52MHz 10pF.</v>
      </c>
      <c r="Q122" s="14" t="str">
        <v>Search (not exact)</v>
      </c>
      <c r="R122" s="33" t="str">
        <f>IF(AND(ISNUMBER(J122),ISNUMBER($B$7)),IF(J122=0,0,IF(ISNUMBER(L122),J122*L122*(1+$B$7),"")),"")</f>
      </c>
      <c r="S122" s="15" t="str">
        <v>No quote / exact selection pending</v>
      </c>
      <c r="T122" s="15" t="str">
        <v>No forecast; use contingency input</v>
      </c>
    </row>
    <row r="123" ht="48" customHeight="1">
      <c r="A123" s="15" t="str">
        <v>J22, J14, J13, J12</v>
      </c>
      <c r="B123" s="15" t="str">
        <v>U.FL-R-SMT-1(80)</v>
      </c>
      <c r="C123" s="2" t="n">
        <v>4</v>
      </c>
      <c r="D123" s="29" t="str">
        <v>Yes</v>
      </c>
      <c r="E123" s="2" t="n">
        <f>IF(D123&lt;&gt;"Yes",0,IF(ISNUMBER($B$4),C123*$B$4,""))</f>
        <v>40</v>
      </c>
      <c r="F123" s="15" t="n">
        <f>IF(AND(ISNUMBER(E123),ISNUMBER($B$5),ISNUMBER($B$6)),IF(E123=0,0,ROUNDUP(E123*$B$5,0)+$B$6),"")</f>
        <v>6</v>
      </c>
      <c r="G123" s="2" t="n">
        <f>IF(AND(ISNUMBER(E123),ISNUMBER(F123)),E123+F123,"")</f>
        <v>46</v>
      </c>
      <c r="H123" s="29"/>
      <c r="I123" s="29"/>
      <c r="J123" s="2" t="str">
        <f>IF(AND(ISNUMBER(H123),ISNUMBER(I123)),MAX(0,G123-H123-I123),"")</f>
      </c>
      <c r="K123" s="31" t="str">
        <f>IF(ISNUMBER(G123),IF(G123=0,0,""),"")</f>
      </c>
      <c r="L123" s="32"/>
      <c r="M123" s="31" t="str">
        <f>IF(D123&lt;&gt;"Yes","",IF(ISNUMBER(L123),L123,IF(ISNUMBER(K123),K123,"")))</f>
      </c>
      <c r="N123" s="31" t="str">
        <f>IF(AND(ISNUMBER(G123),ISNUMBER(M123),ISNUMBER($B$7)),G123*M123*(1+$B$7),"")</f>
      </c>
      <c r="O123" s="15" t="str">
        <v>Not assessed</v>
      </c>
      <c r="P123" s="15" t="str">
        <v>Verify exact MPN, ratings, footprint and Rev B retention.</v>
      </c>
      <c r="Q123" s="14" t="str">
        <v>Search (not exact)</v>
      </c>
      <c r="R123" s="33" t="str">
        <f>IF(AND(ISNUMBER(J123),ISNUMBER($B$7)),IF(J123=0,0,IF(ISNUMBER(L123),J123*L123*(1+$B$7),"")),"")</f>
      </c>
      <c r="S123" s="15" t="str">
        <v>No quote / exact selection pending</v>
      </c>
      <c r="T123" s="15" t="str">
        <v>No forecast; use contingency input</v>
      </c>
    </row>
    <row r="124" ht="48" customHeight="1">
      <c r="A124" s="15" t="str">
        <v>J15</v>
      </c>
      <c r="B124" s="15" t="str">
        <v>XT60PW-F</v>
      </c>
      <c r="C124" s="2" t="n">
        <v>1</v>
      </c>
      <c r="D124" s="29" t="str">
        <v>Yes</v>
      </c>
      <c r="E124" s="2" t="n">
        <f>IF(D124&lt;&gt;"Yes",0,IF(ISNUMBER($B$4),C124*$B$4,""))</f>
        <v>10</v>
      </c>
      <c r="F124" s="15" t="n">
        <f>IF(AND(ISNUMBER(E124),ISNUMBER($B$5),ISNUMBER($B$6)),IF(E124=0,0,ROUNDUP(E124*$B$5,0)+$B$6),"")</f>
        <v>3</v>
      </c>
      <c r="G124" s="2" t="n">
        <f>IF(AND(ISNUMBER(E124),ISNUMBER(F124)),E124+F124,"")</f>
        <v>13</v>
      </c>
      <c r="H124" s="29"/>
      <c r="I124" s="29"/>
      <c r="J124" s="2" t="str">
        <f>IF(AND(ISNUMBER(H124),ISNUMBER(I124)),MAX(0,G124-H124-I124),"")</f>
      </c>
      <c r="K124" s="31" t="str">
        <f>IF(ISNUMBER(G124),IF(G124=0,0,""),"")</f>
      </c>
      <c r="L124" s="32"/>
      <c r="M124" s="31" t="str">
        <f>IF(D124&lt;&gt;"Yes","",IF(ISNUMBER(L124),L124,IF(ISNUMBER(K124),K124,"")))</f>
      </c>
      <c r="N124" s="31" t="str">
        <f>IF(AND(ISNUMBER(G124),ISNUMBER(M124),ISNUMBER($B$7)),G124*M124*(1+$B$7),"")</f>
      </c>
      <c r="O124" s="15" t="str">
        <v>Not assessed</v>
      </c>
      <c r="P124" s="15" t="str">
        <v>Old power architecture: Rev B replacement planned; do not bulk-buy on these counts.</v>
      </c>
      <c r="Q124" s="14" t="str">
        <v>Search (not exact)</v>
      </c>
      <c r="R124" s="33" t="str">
        <f>IF(AND(ISNUMBER(J124),ISNUMBER($B$7)),IF(J124=0,0,IF(ISNUMBER(L124),J124*L124*(1+$B$7),"")),"")</f>
      </c>
      <c r="S124" s="15" t="str">
        <v>No quote / exact selection pending</v>
      </c>
      <c r="T124" s="15" t="str">
        <v>No forecast; use contingency input</v>
      </c>
    </row>
    <row r="125" ht="48" customHeight="1">
      <c r="A125" s="15" t="str">
        <v>J16</v>
      </c>
      <c r="B125" s="15" t="str">
        <v>XT60PW-M</v>
      </c>
      <c r="C125" s="2" t="n">
        <v>1</v>
      </c>
      <c r="D125" s="29" t="str">
        <v>Yes</v>
      </c>
      <c r="E125" s="2" t="n">
        <f>IF(D125&lt;&gt;"Yes",0,IF(ISNUMBER($B$4),C125*$B$4,""))</f>
        <v>10</v>
      </c>
      <c r="F125" s="15" t="n">
        <f>IF(AND(ISNUMBER(E125),ISNUMBER($B$5),ISNUMBER($B$6)),IF(E125=0,0,ROUNDUP(E125*$B$5,0)+$B$6),"")</f>
        <v>3</v>
      </c>
      <c r="G125" s="2" t="n">
        <f>IF(AND(ISNUMBER(E125),ISNUMBER(F125)),E125+F125,"")</f>
        <v>13</v>
      </c>
      <c r="H125" s="29"/>
      <c r="I125" s="29"/>
      <c r="J125" s="2" t="str">
        <f>IF(AND(ISNUMBER(H125),ISNUMBER(I125)),MAX(0,G125-H125-I125),"")</f>
      </c>
      <c r="K125" s="31" t="str">
        <f>IF(ISNUMBER(G125),IF(G125=0,0,""),"")</f>
      </c>
      <c r="L125" s="32"/>
      <c r="M125" s="31" t="str">
        <f>IF(D125&lt;&gt;"Yes","",IF(ISNUMBER(L125),L125,IF(ISNUMBER(K125),K125,"")))</f>
      </c>
      <c r="N125" s="31" t="str">
        <f>IF(AND(ISNUMBER(G125),ISNUMBER(M125),ISNUMBER($B$7)),G125*M125*(1+$B$7),"")</f>
      </c>
      <c r="O125" s="15" t="str">
        <v>Not assessed</v>
      </c>
      <c r="P125" s="15" t="str">
        <v>Old power architecture: Rev B replacement planned; do not bulk-buy on these counts.</v>
      </c>
      <c r="Q125" s="14" t="str">
        <v>Search (not exact)</v>
      </c>
      <c r="R125" s="33" t="str">
        <f>IF(AND(ISNUMBER(J125),ISNUMBER($B$7)),IF(J125=0,0,IF(ISNUMBER(L125),J125*L125*(1+$B$7),"")),"")</f>
      </c>
      <c r="S125" s="15" t="str">
        <v>No quote / exact selection pending</v>
      </c>
      <c r="T125" s="15" t="str">
        <v>No forecast; use contingency input</v>
      </c>
    </row>
  </sheetData>
  <conditionalFormatting sqref="O13:O125">
    <cfRule type="containsText" dxfId="2" priority="1" operator="containsText" text="High"/>
  </conditionalFormatting>
  <dataValidations count="2">
    <dataValidation type="list" sqref="B4">
      <formula1>OsirisBoardCounts</formula1>
    </dataValidation>
    <dataValidation type="list" sqref="D13:D125">
      <formula1>"Yes,No"</formula1>
    </dataValidation>
  </dataValidations>
  <hyperlinks>
    <hyperlink ref="Q13" r:id="procurementLink0"/>
    <hyperlink ref="Q14" r:id="procurementLink1"/>
    <hyperlink ref="Q15" r:id="procurementLink2"/>
    <hyperlink ref="Q16" r:id="procurementLink3"/>
    <hyperlink ref="Q17" r:id="procurementLink4"/>
    <hyperlink ref="Q18" r:id="procurementLink5"/>
    <hyperlink ref="Q19" r:id="procurementLink6"/>
    <hyperlink ref="Q20" r:id="procurementLink7"/>
    <hyperlink ref="Q21" r:id="procurementLink8"/>
    <hyperlink ref="Q22" r:id="procurementLink9"/>
    <hyperlink ref="Q23" r:id="procurementLink10"/>
    <hyperlink ref="Q24" r:id="procurementLink11"/>
    <hyperlink ref="Q25" r:id="procurementLink12"/>
    <hyperlink ref="Q26" r:id="procurementLink13"/>
    <hyperlink ref="Q27" r:id="procurementLink14"/>
    <hyperlink ref="Q28" r:id="procurementLink15"/>
    <hyperlink ref="Q29" r:id="procurementLink16"/>
    <hyperlink ref="Q30" r:id="procurementLink17"/>
    <hyperlink ref="Q31" r:id="procurementLink18"/>
    <hyperlink ref="Q32" r:id="procurementLink19"/>
    <hyperlink ref="Q33" r:id="procurementLink20"/>
    <hyperlink ref="Q34" r:id="procurementLink21"/>
    <hyperlink ref="Q35" r:id="procurementLink22"/>
    <hyperlink ref="Q36" r:id="procurementLink23"/>
    <hyperlink ref="Q37" r:id="procurementLink24"/>
    <hyperlink ref="Q38" r:id="procurementLink25"/>
    <hyperlink ref="Q39" r:id="procurementLink26"/>
    <hyperlink ref="Q40" r:id="procurementLink27"/>
    <hyperlink ref="Q41" r:id="procurementLink28"/>
    <hyperlink ref="Q42" r:id="procurementLink29"/>
    <hyperlink ref="Q43" r:id="procurementLink30"/>
    <hyperlink ref="Q44" r:id="procurementLink31"/>
    <hyperlink ref="Q45" r:id="procurementLink32"/>
    <hyperlink ref="Q46" r:id="procurementLink33"/>
    <hyperlink ref="Q47" r:id="procurementLink34"/>
    <hyperlink ref="Q48" r:id="procurementLink35"/>
    <hyperlink ref="Q49" r:id="procurementLink36"/>
    <hyperlink ref="Q50" r:id="procurementLink37"/>
    <hyperlink ref="Q51" r:id="procurementLink38"/>
    <hyperlink ref="Q52" r:id="procurementLink39"/>
    <hyperlink ref="Q53" r:id="procurementLink40"/>
    <hyperlink ref="Q54" r:id="procurementLink41"/>
    <hyperlink ref="Q55" r:id="procurementLink42"/>
    <hyperlink ref="Q56" r:id="procurementLink43"/>
    <hyperlink ref="Q57" r:id="procurementLink44"/>
    <hyperlink ref="Q58" r:id="procurementLink45"/>
    <hyperlink ref="Q59" r:id="procurementLink46"/>
    <hyperlink ref="Q60" r:id="procurementLink47"/>
    <hyperlink ref="Q61" r:id="procurementLink48"/>
    <hyperlink ref="Q62" r:id="procurementLink49"/>
    <hyperlink ref="Q63" r:id="procurementLink50"/>
    <hyperlink ref="Q64" r:id="procurementLink51"/>
    <hyperlink ref="Q65" r:id="procurementLink52"/>
    <hyperlink ref="Q66" r:id="procurementLink53"/>
    <hyperlink ref="Q67" r:id="procurementLink54"/>
    <hyperlink ref="Q68" r:id="procurementLink55"/>
    <hyperlink ref="Q69" r:id="procurementLink56"/>
    <hyperlink ref="Q70" r:id="procurementLink57"/>
    <hyperlink ref="Q71" r:id="procurementLink58"/>
    <hyperlink ref="Q72" r:id="procurementLink59"/>
    <hyperlink ref="Q73" r:id="procurementLink60"/>
    <hyperlink ref="Q74" r:id="procurementLink61"/>
    <hyperlink ref="Q75" r:id="procurementLink62"/>
    <hyperlink ref="Q76" r:id="procurementLink63"/>
    <hyperlink ref="Q77" r:id="procurementLink64"/>
    <hyperlink ref="Q78" r:id="procurementLink65"/>
    <hyperlink ref="Q79" r:id="procurementLink66"/>
    <hyperlink ref="Q80" r:id="procurementLink67"/>
    <hyperlink ref="Q81" r:id="procurementLink68"/>
    <hyperlink ref="Q82" r:id="procurementLink69"/>
    <hyperlink ref="Q83" r:id="procurementLink70"/>
    <hyperlink ref="Q84" r:id="procurementLink71"/>
    <hyperlink ref="Q85" r:id="procurementLink72"/>
    <hyperlink ref="Q86" r:id="procurementLink73"/>
    <hyperlink ref="Q87" r:id="procurementLink74"/>
    <hyperlink ref="Q88" r:id="procurementLink75"/>
    <hyperlink ref="Q89" r:id="procurementLink76"/>
    <hyperlink ref="Q90" r:id="procurementLink77"/>
    <hyperlink ref="Q91" r:id="procurementLink78"/>
    <hyperlink ref="Q92" r:id="procurementLink79"/>
    <hyperlink ref="Q93" r:id="procurementLink80"/>
    <hyperlink ref="Q94" r:id="procurementLink81"/>
    <hyperlink ref="Q95" r:id="procurementLink82"/>
    <hyperlink ref="Q96" r:id="procurementLink83"/>
    <hyperlink ref="Q97" r:id="procurementLink84"/>
    <hyperlink ref="Q98" r:id="procurementLink85"/>
    <hyperlink ref="Q99" r:id="procurementLink86"/>
    <hyperlink ref="Q100" r:id="procurementLink87"/>
    <hyperlink ref="Q101" r:id="procurementLink88"/>
    <hyperlink ref="Q102" r:id="procurementLink89"/>
    <hyperlink ref="Q103" r:id="procurementLink90"/>
    <hyperlink ref="Q104" r:id="procurementLink91"/>
    <hyperlink ref="Q105" r:id="procurementLink92"/>
    <hyperlink ref="Q106" r:id="procurementLink93"/>
    <hyperlink ref="Q107" r:id="procurementLink94"/>
    <hyperlink ref="Q108" r:id="procurementLink95"/>
    <hyperlink ref="Q109" r:id="procurementLink96"/>
    <hyperlink ref="Q110" r:id="procurementLink97"/>
    <hyperlink ref="Q111" r:id="procurementLink98"/>
    <hyperlink ref="Q112" r:id="procurementLink99"/>
    <hyperlink ref="Q113" r:id="procurementLink100"/>
    <hyperlink ref="Q114" r:id="procurementLink101"/>
    <hyperlink ref="Q115" r:id="procurementLink102"/>
    <hyperlink ref="Q116" r:id="procurementLink103"/>
    <hyperlink ref="Q117" r:id="procurementLink104"/>
    <hyperlink ref="Q118" r:id="procurementLink105"/>
    <hyperlink ref="Q119" r:id="procurementLink106"/>
    <hyperlink ref="Q120" r:id="procurementLink107"/>
    <hyperlink ref="Q121" r:id="procurementLink108"/>
    <hyperlink ref="Q122" r:id="procurementLink109"/>
    <hyperlink ref="Q123" r:id="procurementLink110"/>
    <hyperlink ref="Q124" r:id="procurementLink111"/>
    <hyperlink ref="Q125" r:id="procurementLink112"/>
  </hyperlinks>
  <pageMargins left="0.7" right="0.7" top="0.75" bottom="0.75" header="0.3" footer="0.3"/>
</worksheet>
</file>

<file path=xl/worksheets/sheet4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0" hidden="0" customWidth="1"/>
    <x:col min="2" max="2" width="14" hidden="0" customWidth="1"/>
    <x:col min="3" max="3" width="16" hidden="0" customWidth="1"/>
    <x:col min="4" max="4" width="20" hidden="0" customWidth="1"/>
    <x:col min="5" max="5" width="12" hidden="0" customWidth="1"/>
    <x:col min="6" max="6" width="17" hidden="0" customWidth="1"/>
    <x:col min="7" max="7" width="17" hidden="0" customWidth="1"/>
    <x:col min="8" max="8" width="15" hidden="0" customWidth="1"/>
    <x:col min="9" max="9" width="58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Y1" t="str">
        <x:v>Board counts</x:v>
      </x:c>
    </x:row>
    <x:row r="2" ht="28" customHeight="1">
      <x:c r="A2" s="3" t="str">
        <x:v>Price tiers</x:v>
      </x:c>
      <x:c r="B2" s="2"/>
      <x:c r="C2" s="2"/>
      <x:c r="D2" s="2"/>
      <x:c r="E2" s="2"/>
      <x:c r="F2" s="2"/>
      <x:c r="G2" s="2"/>
      <x:c r="H2" s="2"/>
      <x:c r="I2" s="2"/>
      <x:c r="Y2" t="n">
        <x:v>0</x:v>
      </x:c>
    </x:row>
    <x:row r="3" ht="28" customHeight="1">
      <x:c r="A3" s="4"/>
      <x:c r="B3" s="4"/>
      <x:c r="C3" s="4"/>
      <x:c r="D3" s="4"/>
      <x:c r="E3" s="4"/>
      <x:c r="F3" s="4"/>
      <x:c r="G3" s="4"/>
      <x:c r="H3" s="4"/>
      <x:c r="I3" s="4"/>
      <x:c r="Y3" t="n">
        <x:v>1</x:v>
      </x:c>
    </x:row>
    <x:row r="4" ht="28" customHeight="1">
      <x:c r="A4" s="2" t="str">
        <x:v>Prices exclude freight, tax, tariffs, reeling and setup fees. Refresh before ordering; snapshots are not firm quotes.</x:v>
      </x:c>
      <x:c r="B4" s="2"/>
      <x:c r="C4" s="2"/>
      <x:c r="D4" s="2"/>
      <x:c r="E4" s="2"/>
      <x:c r="F4" s="2"/>
      <x:c r="G4" s="2"/>
      <x:c r="H4" s="2"/>
      <x:c r="I4" s="2"/>
      <x:c r="Y4" t="n">
        <x:v>2</x:v>
      </x:c>
    </x:row>
    <x:row r="5" ht="28" customHeight="1">
      <x:c r="A5" s="2" t="str">
        <x:v>Listed stock is one channel, not global availability. No verified future price-rise forecast is available.</x:v>
      </x:c>
      <x:c r="B5" s="2"/>
      <x:c r="C5" s="2"/>
      <x:c r="D5" s="2"/>
      <x:c r="E5" s="2"/>
      <x:c r="F5" s="2"/>
      <x:c r="G5" s="2"/>
      <x:c r="H5" s="2"/>
      <x:c r="I5" s="2"/>
      <x:c r="Y5" t="n">
        <x:v>3</x:v>
      </x:c>
    </x:row>
    <x:row r="6" ht="28" customHeight="1">
      <x:c r="A6" s="2"/>
      <x:c r="B6" s="2"/>
      <x:c r="C6" s="2"/>
      <x:c r="D6" s="2"/>
      <x:c r="E6" s="2"/>
      <x:c r="F6" s="2"/>
      <x:c r="G6" s="2"/>
      <x:c r="H6" s="2"/>
      <x:c r="I6" s="2"/>
      <x:c r="Y6" t="n">
        <x:v>5</x:v>
      </x:c>
    </x:row>
    <x:row r="7" ht="42" customHeight="1">
      <x:c r="A7" s="27" t="str">
        <x:v>Exact MPN</x:v>
      </x:c>
      <x:c r="B7" s="27" t="str">
        <x:v>Break qty</x:v>
      </x:c>
      <x:c r="C7" s="27" t="str">
        <x:v>Unit USD</x:v>
      </x:c>
      <x:c r="D7" s="27" t="str">
        <x:v>Supplier</x:v>
      </x:c>
      <x:c r="E7" s="27" t="str">
        <x:v>Currency</x:v>
      </x:c>
      <x:c r="F7" s="27" t="str">
        <x:v>Checked</x:v>
      </x:c>
      <x:c r="G7" s="27" t="str">
        <x:v>Listed stock</x:v>
      </x:c>
      <x:c r="H7" s="27" t="str">
        <x:v>Lead weeks</x:v>
      </x:c>
      <x:c r="I7" s="27" t="str">
        <x:v>Basis</x:v>
      </x:c>
      <x:c r="Y7" t="n">
        <x:v>10</x:v>
      </x:c>
    </x:row>
    <x:row r="8" ht="28" customHeight="1">
      <x:c r="A8" s="2" t="str">
        <x:v>STM32H743IIK6</x:v>
      </x:c>
      <x:c r="B8" s="2" t="n">
        <x:v>1</x:v>
      </x:c>
      <x:c r="C8" s="28" t="n">
        <x:v>19.97</x:v>
      </x:c>
      <x:c r="D8" s="2" t="str">
        <x:v>DigiKey</x:v>
      </x:c>
      <x:c r="E8" s="2" t="str">
        <x:v>USD</x:v>
      </x:c>
      <x:c r="F8" s="2" t="str">
        <x:v>2026-09-14</x:v>
      </x:c>
      <x:c r="G8" s="2" t="n">
        <x:v>0</x:v>
      </x:c>
      <x:c r="H8" s="2" t="n">
        <x:v>52</x:v>
      </x:c>
      <x:c r="I8" s="2" t="str">
        <x:v>Supplier snapshot; availability not guaranteed</x:v>
      </x:c>
      <x:c r="Y8" t="n">
        <x:v>15</x:v>
      </x:c>
    </x:row>
    <x:row r="9" ht="28" customHeight="1">
      <x:c r="A9" s="2" t="str">
        <x:v>STM32H743IIK6</x:v>
      </x:c>
      <x:c r="B9" s="2" t="n">
        <x:v>10</x:v>
      </x:c>
      <x:c r="C9" s="28" t="n">
        <x:v>15.867</x:v>
      </x:c>
      <x:c r="D9" s="2" t="str">
        <x:v>DigiKey</x:v>
      </x:c>
      <x:c r="E9" s="2" t="str">
        <x:v>USD</x:v>
      </x:c>
      <x:c r="F9" s="2" t="str">
        <x:v>2026-09-14</x:v>
      </x:c>
      <x:c r="G9" s="2" t="n">
        <x:v>0</x:v>
      </x:c>
      <x:c r="H9" s="2" t="n">
        <x:v>52</x:v>
      </x:c>
      <x:c r="I9" s="2" t="str">
        <x:v>Supplier snapshot; availability not guaranteed</x:v>
      </x:c>
      <x:c r="Y9" t="n">
        <x:v>20</x:v>
      </x:c>
    </x:row>
    <x:row r="10" ht="28" customHeight="1">
      <x:c r="A10" s="2" t="str">
        <x:v>STM32H743IIK6</x:v>
      </x:c>
      <x:c r="B10" s="2" t="n">
        <x:v>50</x:v>
      </x:c>
      <x:c r="C10" s="28" t="n">
        <x:v>14.2236</x:v>
      </x:c>
      <x:c r="D10" s="2" t="str">
        <x:v>DigiKey</x:v>
      </x:c>
      <x:c r="E10" s="2" t="str">
        <x:v>USD</x:v>
      </x:c>
      <x:c r="F10" s="2" t="str">
        <x:v>2026-09-14</x:v>
      </x:c>
      <x:c r="G10" s="2" t="n">
        <x:v>0</x:v>
      </x:c>
      <x:c r="H10" s="2" t="n">
        <x:v>52</x:v>
      </x:c>
      <x:c r="I10" s="2" t="str">
        <x:v>Supplier snapshot; availability not guaranteed</x:v>
      </x:c>
      <x:c r="Y10" t="n">
        <x:v>25</x:v>
      </x:c>
    </x:row>
    <x:row r="11" ht="28" customHeight="1">
      <x:c r="A11" s="2" t="str">
        <x:v>STM32H743IIK6</x:v>
      </x:c>
      <x:c r="B11" s="2" t="n">
        <x:v>100</x:v>
      </x:c>
      <x:c r="C11" s="28" t="n">
        <x:v>13.7147</x:v>
      </x:c>
      <x:c r="D11" s="2" t="str">
        <x:v>DigiKey</x:v>
      </x:c>
      <x:c r="E11" s="2" t="str">
        <x:v>USD</x:v>
      </x:c>
      <x:c r="F11" s="2" t="str">
        <x:v>2026-09-14</x:v>
      </x:c>
      <x:c r="G11" s="2" t="n">
        <x:v>0</x:v>
      </x:c>
      <x:c r="H11" s="2" t="n">
        <x:v>52</x:v>
      </x:c>
      <x:c r="I11" s="2" t="str">
        <x:v>Supplier snapshot; availability not guaranteed</x:v>
      </x:c>
      <x:c r="Y11" t="n">
        <x:v>50</x:v>
      </x:c>
    </x:row>
    <x:row r="12" ht="28" customHeight="1">
      <x:c r="A12" s="2" t="str">
        <x:v>STM32H743IIK6</x:v>
      </x:c>
      <x:c r="B12" s="2" t="n">
        <x:v>168</x:v>
      </x:c>
      <x:c r="C12" s="28" t="n">
        <x:v>13.39351</x:v>
      </x:c>
      <x:c r="D12" s="2" t="str">
        <x:v>DigiKey</x:v>
      </x:c>
      <x:c r="E12" s="2" t="str">
        <x:v>USD</x:v>
      </x:c>
      <x:c r="F12" s="2" t="str">
        <x:v>2026-09-14</x:v>
      </x:c>
      <x:c r="G12" s="2" t="n">
        <x:v>0</x:v>
      </x:c>
      <x:c r="H12" s="2" t="n">
        <x:v>52</x:v>
      </x:c>
      <x:c r="I12" s="2" t="str">
        <x:v>Supplier snapshot; availability not guaranteed</x:v>
      </x:c>
      <x:c r="Y12" t="n">
        <x:v>100</x:v>
      </x:c>
    </x:row>
    <x:row r="13" ht="28" customHeight="1">
      <x:c r="A13" s="2" t="str">
        <x:v>STM32H743IIK6</x:v>
      </x:c>
      <x:c r="B13" s="2" t="n">
        <x:v>504</x:v>
      </x:c>
      <x:c r="C13" s="28" t="n">
        <x:v>12.85018</x:v>
      </x:c>
      <x:c r="D13" s="2" t="str">
        <x:v>DigiKey</x:v>
      </x:c>
      <x:c r="E13" s="2" t="str">
        <x:v>USD</x:v>
      </x:c>
      <x:c r="F13" s="2" t="str">
        <x:v>2026-09-14</x:v>
      </x:c>
      <x:c r="G13" s="2" t="n">
        <x:v>0</x:v>
      </x:c>
      <x:c r="H13" s="2" t="n">
        <x:v>52</x:v>
      </x:c>
      <x:c r="I13" s="2" t="str">
        <x:v>Supplier snapshot; availability not guaranteed</x:v>
      </x:c>
    </x:row>
    <x:row r="14" ht="28" customHeight="1">
      <x:c r="A14" s="2" t="str">
        <x:v>STM32F446RET6</x:v>
      </x:c>
      <x:c r="B14" s="2" t="n">
        <x:v>1</x:v>
      </x:c>
      <x:c r="C14" s="28" t="n">
        <x:v>10.27</x:v>
      </x:c>
      <x:c r="D14" s="2" t="str">
        <x:v>DigiKey</x:v>
      </x:c>
      <x:c r="E14" s="2" t="str">
        <x:v>USD</x:v>
      </x:c>
      <x:c r="F14" s="2" t="str">
        <x:v>2026-09-14</x:v>
      </x:c>
      <x:c r="G14" s="2" t="n">
        <x:v>0</x:v>
      </x:c>
      <x:c r="H14" s="2"/>
      <x:c r="I14" s="2" t="str">
        <x:v>Supplier snapshot; availability not guaranteed</x:v>
      </x:c>
    </x:row>
    <x:row r="15" ht="28" customHeight="1">
      <x:c r="A15" s="2" t="str">
        <x:v>STM32F446RET6</x:v>
      </x:c>
      <x:c r="B15" s="2" t="n">
        <x:v>10</x:v>
      </x:c>
      <x:c r="C15" s="28" t="n">
        <x:v>7.981</x:v>
      </x:c>
      <x:c r="D15" s="2" t="str">
        <x:v>DigiKey</x:v>
      </x:c>
      <x:c r="E15" s="2" t="str">
        <x:v>USD</x:v>
      </x:c>
      <x:c r="F15" s="2" t="str">
        <x:v>2026-09-14</x:v>
      </x:c>
      <x:c r="G15" s="2" t="n">
        <x:v>0</x:v>
      </x:c>
      <x:c r="H15" s="2"/>
      <x:c r="I15" s="2" t="str">
        <x:v>Supplier snapshot; availability not guaranteed</x:v>
      </x:c>
    </x:row>
    <x:row r="16" ht="28" customHeight="1">
      <x:c r="A16" s="2" t="str">
        <x:v>STM32F446RET6</x:v>
      </x:c>
      <x:c r="B16" s="2" t="n">
        <x:v>50</x:v>
      </x:c>
      <x:c r="C16" s="28" t="n">
        <x:v>7.0646</x:v>
      </x:c>
      <x:c r="D16" s="2" t="str">
        <x:v>DigiKey</x:v>
      </x:c>
      <x:c r="E16" s="2" t="str">
        <x:v>USD</x:v>
      </x:c>
      <x:c r="F16" s="2" t="str">
        <x:v>2026-09-14</x:v>
      </x:c>
      <x:c r="G16" s="2" t="n">
        <x:v>0</x:v>
      </x:c>
      <x:c r="H16" s="2"/>
      <x:c r="I16" s="2" t="str">
        <x:v>Supplier snapshot; availability not guaranteed</x:v>
      </x:c>
    </x:row>
    <x:row r="17" ht="28" customHeight="1">
      <x:c r="A17" s="2" t="str">
        <x:v>STM32F446RET6</x:v>
      </x:c>
      <x:c r="B17" s="2" t="n">
        <x:v>100</x:v>
      </x:c>
      <x:c r="C17" s="28" t="n">
        <x:v>6.7808</x:v>
      </x:c>
      <x:c r="D17" s="2" t="str">
        <x:v>DigiKey</x:v>
      </x:c>
      <x:c r="E17" s="2" t="str">
        <x:v>USD</x:v>
      </x:c>
      <x:c r="F17" s="2" t="str">
        <x:v>2026-09-14</x:v>
      </x:c>
      <x:c r="G17" s="2" t="n">
        <x:v>0</x:v>
      </x:c>
      <x:c r="H17" s="2"/>
      <x:c r="I17" s="2" t="str">
        <x:v>Supplier snapshot; availability not guaranteed</x:v>
      </x:c>
    </x:row>
    <x:row r="18" ht="28" customHeight="1">
      <x:c r="A18" s="2" t="str">
        <x:v>STM32F446RET6</x:v>
      </x:c>
      <x:c r="B18" s="2" t="n">
        <x:v>160</x:v>
      </x:c>
      <x:c r="C18" s="28" t="n">
        <x:v>6.6175</x:v>
      </x:c>
      <x:c r="D18" s="2" t="str">
        <x:v>DigiKey</x:v>
      </x:c>
      <x:c r="E18" s="2" t="str">
        <x:v>USD</x:v>
      </x:c>
      <x:c r="F18" s="2" t="str">
        <x:v>2026-09-14</x:v>
      </x:c>
      <x:c r="G18" s="2" t="n">
        <x:v>0</x:v>
      </x:c>
      <x:c r="H18" s="2"/>
      <x:c r="I18" s="2" t="str">
        <x:v>Supplier snapshot; availability not guaranteed</x:v>
      </x:c>
    </x:row>
    <x:row r="19" ht="28" customHeight="1">
      <x:c r="A19" s="2" t="str">
        <x:v>STM32F446RET6</x:v>
      </x:c>
      <x:c r="B19" s="2" t="n">
        <x:v>640</x:v>
      </x:c>
      <x:c r="C19" s="28" t="n">
        <x:v>6.24425</x:v>
      </x:c>
      <x:c r="D19" s="2" t="str">
        <x:v>DigiKey</x:v>
      </x:c>
      <x:c r="E19" s="2" t="str">
        <x:v>USD</x:v>
      </x:c>
      <x:c r="F19" s="2" t="str">
        <x:v>2026-09-14</x:v>
      </x:c>
      <x:c r="G19" s="2" t="n">
        <x:v>0</x:v>
      </x:c>
      <x:c r="H19" s="2"/>
      <x:c r="I19" s="2" t="str">
        <x:v>Supplier snapshot; availability not guaranteed</x:v>
      </x:c>
    </x:row>
    <x:row r="20" ht="28" customHeight="1">
      <x:c r="A20" s="2" t="str">
        <x:v>BMI088</x:v>
      </x:c>
      <x:c r="B20" s="2" t="n">
        <x:v>1</x:v>
      </x:c>
      <x:c r="C20" s="28" t="n">
        <x:v>5.92</x:v>
      </x:c>
      <x:c r="D20" s="2" t="str">
        <x:v>DigiKey</x:v>
      </x:c>
      <x:c r="E20" s="2" t="str">
        <x:v>USD</x:v>
      </x:c>
      <x:c r="F20" s="2" t="str">
        <x:v>2026-09-14</x:v>
      </x:c>
      <x:c r="G20" s="2" t="n">
        <x:v>0</x:v>
      </x:c>
      <x:c r="H20" s="2"/>
      <x:c r="I20" s="2" t="str">
        <x:v>Supplier snapshot; availability not guaranteed</x:v>
      </x:c>
    </x:row>
    <x:row r="21" ht="28" customHeight="1">
      <x:c r="A21" s="2" t="str">
        <x:v>BMI088</x:v>
      </x:c>
      <x:c r="B21" s="2" t="n">
        <x:v>5</x:v>
      </x:c>
      <x:c r="C21" s="28" t="n">
        <x:v>5.32</x:v>
      </x:c>
      <x:c r="D21" s="2" t="str">
        <x:v>DigiKey</x:v>
      </x:c>
      <x:c r="E21" s="2" t="str">
        <x:v>USD</x:v>
      </x:c>
      <x:c r="F21" s="2" t="str">
        <x:v>2026-09-14</x:v>
      </x:c>
      <x:c r="G21" s="2" t="n">
        <x:v>0</x:v>
      </x:c>
      <x:c r="H21" s="2"/>
      <x:c r="I21" s="2" t="str">
        <x:v>Supplier snapshot; availability not guaranteed</x:v>
      </x:c>
    </x:row>
    <x:row r="22" ht="28" customHeight="1">
      <x:c r="A22" s="2" t="str">
        <x:v>BMI088</x:v>
      </x:c>
      <x:c r="B22" s="2" t="n">
        <x:v>10</x:v>
      </x:c>
      <x:c r="C22" s="28" t="n">
        <x:v>5.099</x:v>
      </x:c>
      <x:c r="D22" s="2" t="str">
        <x:v>DigiKey</x:v>
      </x:c>
      <x:c r="E22" s="2" t="str">
        <x:v>USD</x:v>
      </x:c>
      <x:c r="F22" s="2" t="str">
        <x:v>2026-09-14</x:v>
      </x:c>
      <x:c r="G22" s="2" t="n">
        <x:v>0</x:v>
      </x:c>
      <x:c r="H22" s="2"/>
      <x:c r="I22" s="2" t="str">
        <x:v>Supplier snapshot; availability not guaranteed</x:v>
      </x:c>
    </x:row>
    <x:row r="23" ht="28" customHeight="1">
      <x:c r="A23" s="2" t="str">
        <x:v>BMI088</x:v>
      </x:c>
      <x:c r="B23" s="2" t="n">
        <x:v>25</x:v>
      </x:c>
      <x:c r="C23" s="28" t="n">
        <x:v>4.834</x:v>
      </x:c>
      <x:c r="D23" s="2" t="str">
        <x:v>DigiKey</x:v>
      </x:c>
      <x:c r="E23" s="2" t="str">
        <x:v>USD</x:v>
      </x:c>
      <x:c r="F23" s="2" t="str">
        <x:v>2026-09-14</x:v>
      </x:c>
      <x:c r="G23" s="2" t="n">
        <x:v>0</x:v>
      </x:c>
      <x:c r="H23" s="2"/>
      <x:c r="I23" s="2" t="str">
        <x:v>Supplier snapshot; availability not guaranteed</x:v>
      </x:c>
    </x:row>
    <x:row r="24" ht="28" customHeight="1">
      <x:c r="A24" s="2" t="str">
        <x:v>BMI088</x:v>
      </x:c>
      <x:c r="B24" s="2" t="n">
        <x:v>50</x:v>
      </x:c>
      <x:c r="C24" s="28" t="n">
        <x:v>4.6532</x:v>
      </x:c>
      <x:c r="D24" s="2" t="str">
        <x:v>DigiKey</x:v>
      </x:c>
      <x:c r="E24" s="2" t="str">
        <x:v>USD</x:v>
      </x:c>
      <x:c r="F24" s="2" t="str">
        <x:v>2026-09-14</x:v>
      </x:c>
      <x:c r="G24" s="2" t="n">
        <x:v>0</x:v>
      </x:c>
      <x:c r="H24" s="2"/>
      <x:c r="I24" s="2" t="str">
        <x:v>Supplier snapshot; availability not guaranteed</x:v>
      </x:c>
    </x:row>
    <x:row r="25" ht="28" customHeight="1">
      <x:c r="A25" s="2" t="str">
        <x:v>BMI088</x:v>
      </x:c>
      <x:c r="B25" s="2" t="n">
        <x:v>100</x:v>
      </x:c>
      <x:c r="C25" s="28" t="n">
        <x:v>4.4873</x:v>
      </x:c>
      <x:c r="D25" s="2" t="str">
        <x:v>DigiKey</x:v>
      </x:c>
      <x:c r="E25" s="2" t="str">
        <x:v>USD</x:v>
      </x:c>
      <x:c r="F25" s="2" t="str">
        <x:v>2026-09-14</x:v>
      </x:c>
      <x:c r="G25" s="2" t="n">
        <x:v>0</x:v>
      </x:c>
      <x:c r="H25" s="2"/>
      <x:c r="I25" s="2" t="str">
        <x:v>Supplier snapshot; availability not guaranteed</x:v>
      </x:c>
    </x:row>
    <x:row r="26" ht="28" customHeight="1">
      <x:c r="A26" s="2" t="str">
        <x:v>BMI088</x:v>
      </x:c>
      <x:c r="B26" s="2" t="n">
        <x:v>500</x:v>
      </x:c>
      <x:c r="C26" s="28" t="n">
        <x:v>4.15356</x:v>
      </x:c>
      <x:c r="D26" s="2" t="str">
        <x:v>DigiKey</x:v>
      </x:c>
      <x:c r="E26" s="2" t="str">
        <x:v>USD</x:v>
      </x:c>
      <x:c r="F26" s="2" t="str">
        <x:v>2026-09-14</x:v>
      </x:c>
      <x:c r="G26" s="2" t="n">
        <x:v>0</x:v>
      </x:c>
      <x:c r="H26" s="2"/>
      <x:c r="I26" s="2" t="str">
        <x:v>Supplier snapshot; availability not guaranteed</x:v>
      </x:c>
    </x:row>
    <x:row r="27" ht="28" customHeight="1">
      <x:c r="A27" s="2" t="str">
        <x:v>BMI088</x:v>
      </x:c>
      <x:c r="B27" s="2" t="n">
        <x:v>1000</x:v>
      </x:c>
      <x:c r="C27" s="28" t="n">
        <x:v>4.0698</x:v>
      </x:c>
      <x:c r="D27" s="2" t="str">
        <x:v>DigiKey</x:v>
      </x:c>
      <x:c r="E27" s="2" t="str">
        <x:v>USD</x:v>
      </x:c>
      <x:c r="F27" s="2" t="str">
        <x:v>2026-09-14</x:v>
      </x:c>
      <x:c r="G27" s="2" t="n">
        <x:v>0</x:v>
      </x:c>
      <x:c r="H27" s="2"/>
      <x:c r="I27" s="2" t="str">
        <x:v>Supplier snapshot; availability not guaranteed</x:v>
      </x:c>
    </x:row>
    <x:row r="28" ht="28" customHeight="1">
      <x:c r="A28" s="2" t="str">
        <x:v>ICM-42688-P</x:v>
      </x:c>
      <x:c r="B28" s="2" t="n">
        <x:v>1</x:v>
      </x:c>
      <x:c r="C28" s="28" t="n">
        <x:v>4.91</x:v>
      </x:c>
      <x:c r="D28" s="2" t="str">
        <x:v>DigiKey</x:v>
      </x:c>
      <x:c r="E28" s="2" t="str">
        <x:v>USD</x:v>
      </x:c>
      <x:c r="F28" s="2" t="str">
        <x:v>2026-09-14</x:v>
      </x:c>
      <x:c r="G28" s="2" t="n">
        <x:v>0</x:v>
      </x:c>
      <x:c r="H28" s="2" t="n">
        <x:v>45</x:v>
      </x:c>
      <x:c r="I28" s="2" t="str">
        <x:v>Supplier snapshot; availability not guaranteed</x:v>
      </x:c>
    </x:row>
    <x:row r="29" ht="28" customHeight="1">
      <x:c r="A29" s="2" t="str">
        <x:v>ICM-42688-P</x:v>
      </x:c>
      <x:c r="B29" s="2" t="n">
        <x:v>5</x:v>
      </x:c>
      <x:c r="C29" s="28" t="n">
        <x:v>4.402</x:v>
      </x:c>
      <x:c r="D29" s="2" t="str">
        <x:v>DigiKey</x:v>
      </x:c>
      <x:c r="E29" s="2" t="str">
        <x:v>USD</x:v>
      </x:c>
      <x:c r="F29" s="2" t="str">
        <x:v>2026-09-14</x:v>
      </x:c>
      <x:c r="G29" s="2" t="n">
        <x:v>0</x:v>
      </x:c>
      <x:c r="H29" s="2" t="n">
        <x:v>45</x:v>
      </x:c>
      <x:c r="I29" s="2" t="str">
        <x:v>Supplier snapshot; availability not guaranteed</x:v>
      </x:c>
    </x:row>
    <x:row r="30" ht="28" customHeight="1">
      <x:c r="A30" s="2" t="str">
        <x:v>ICM-42688-P</x:v>
      </x:c>
      <x:c r="B30" s="2" t="n">
        <x:v>10</x:v>
      </x:c>
      <x:c r="C30" s="28" t="n">
        <x:v>4.214</x:v>
      </x:c>
      <x:c r="D30" s="2" t="str">
        <x:v>DigiKey</x:v>
      </x:c>
      <x:c r="E30" s="2" t="str">
        <x:v>USD</x:v>
      </x:c>
      <x:c r="F30" s="2" t="str">
        <x:v>2026-09-14</x:v>
      </x:c>
      <x:c r="G30" s="2" t="n">
        <x:v>0</x:v>
      </x:c>
      <x:c r="H30" s="2" t="n">
        <x:v>45</x:v>
      </x:c>
      <x:c r="I30" s="2" t="str">
        <x:v>Supplier snapshot; availability not guaranteed</x:v>
      </x:c>
    </x:row>
    <x:row r="31" ht="28" customHeight="1">
      <x:c r="A31" s="2" t="str">
        <x:v>ICM-42688-P</x:v>
      </x:c>
      <x:c r="B31" s="2" t="n">
        <x:v>25</x:v>
      </x:c>
      <x:c r="C31" s="28" t="n">
        <x:v>3.99</x:v>
      </x:c>
      <x:c r="D31" s="2" t="str">
        <x:v>DigiKey</x:v>
      </x:c>
      <x:c r="E31" s="2" t="str">
        <x:v>USD</x:v>
      </x:c>
      <x:c r="F31" s="2" t="str">
        <x:v>2026-09-14</x:v>
      </x:c>
      <x:c r="G31" s="2" t="n">
        <x:v>0</x:v>
      </x:c>
      <x:c r="H31" s="2" t="n">
        <x:v>45</x:v>
      </x:c>
      <x:c r="I31" s="2" t="str">
        <x:v>Supplier snapshot; availability not guaranteed</x:v>
      </x:c>
    </x:row>
    <x:row r="32" ht="28" customHeight="1">
      <x:c r="A32" s="2" t="str">
        <x:v>ICM-42688-P</x:v>
      </x:c>
      <x:c r="B32" s="2" t="n">
        <x:v>50</x:v>
      </x:c>
      <x:c r="C32" s="28" t="n">
        <x:v>3.837</x:v>
      </x:c>
      <x:c r="D32" s="2" t="str">
        <x:v>DigiKey</x:v>
      </x:c>
      <x:c r="E32" s="2" t="str">
        <x:v>USD</x:v>
      </x:c>
      <x:c r="F32" s="2" t="str">
        <x:v>2026-09-14</x:v>
      </x:c>
      <x:c r="G32" s="2" t="n">
        <x:v>0</x:v>
      </x:c>
      <x:c r="H32" s="2" t="n">
        <x:v>45</x:v>
      </x:c>
      <x:c r="I32" s="2" t="str">
        <x:v>Supplier snapshot; availability not guaranteed</x:v>
      </x:c>
    </x:row>
    <x:row r="33" ht="28" customHeight="1">
      <x:c r="A33" s="2" t="str">
        <x:v>ICM-42688-P</x:v>
      </x:c>
      <x:c r="B33" s="2" t="n">
        <x:v>100</x:v>
      </x:c>
      <x:c r="C33" s="28" t="n">
        <x:v>3.6967</x:v>
      </x:c>
      <x:c r="D33" s="2" t="str">
        <x:v>DigiKey</x:v>
      </x:c>
      <x:c r="E33" s="2" t="str">
        <x:v>USD</x:v>
      </x:c>
      <x:c r="F33" s="2" t="str">
        <x:v>2026-09-14</x:v>
      </x:c>
      <x:c r="G33" s="2" t="n">
        <x:v>0</x:v>
      </x:c>
      <x:c r="H33" s="2" t="n">
        <x:v>45</x:v>
      </x:c>
      <x:c r="I33" s="2" t="str">
        <x:v>Supplier snapshot; availability not guaranteed</x:v>
      </x:c>
    </x:row>
    <x:row r="34" ht="28" customHeight="1">
      <x:c r="A34" s="2" t="str">
        <x:v>ICM-42688-P</x:v>
      </x:c>
      <x:c r="B34" s="2" t="n">
        <x:v>500</x:v>
      </x:c>
      <x:c r="C34" s="28" t="n">
        <x:v>3.41426</x:v>
      </x:c>
      <x:c r="D34" s="2" t="str">
        <x:v>DigiKey</x:v>
      </x:c>
      <x:c r="E34" s="2" t="str">
        <x:v>USD</x:v>
      </x:c>
      <x:c r="F34" s="2" t="str">
        <x:v>2026-09-14</x:v>
      </x:c>
      <x:c r="G34" s="2" t="n">
        <x:v>0</x:v>
      </x:c>
      <x:c r="H34" s="2" t="n">
        <x:v>45</x:v>
      </x:c>
      <x:c r="I34" s="2" t="str">
        <x:v>Supplier snapshot; availability not guaranteed</x:v>
      </x:c>
    </x:row>
    <x:row r="35" ht="28" customHeight="1">
      <x:c r="A35" s="2" t="str">
        <x:v>ICM-42688-P</x:v>
      </x:c>
      <x:c r="B35" s="2" t="n">
        <x:v>1000</x:v>
      </x:c>
      <x:c r="C35" s="28" t="n">
        <x:v>3.30906</x:v>
      </x:c>
      <x:c r="D35" s="2" t="str">
        <x:v>DigiKey</x:v>
      </x:c>
      <x:c r="E35" s="2" t="str">
        <x:v>USD</x:v>
      </x:c>
      <x:c r="F35" s="2" t="str">
        <x:v>2026-09-14</x:v>
      </x:c>
      <x:c r="G35" s="2" t="n">
        <x:v>0</x:v>
      </x:c>
      <x:c r="H35" s="2" t="n">
        <x:v>45</x:v>
      </x:c>
      <x:c r="I35" s="2" t="str">
        <x:v>Supplier snapshot; availability not guaranteed</x:v>
      </x:c>
    </x:row>
    <x:row r="36" ht="28" customHeight="1">
      <x:c r="A36" s="2" t="str">
        <x:v>LPS22HBTR</x:v>
      </x:c>
      <x:c r="B36" s="2" t="n">
        <x:v>1</x:v>
      </x:c>
      <x:c r="C36" s="28" t="n">
        <x:v>3.18</x:v>
      </x:c>
      <x:c r="D36" s="2" t="str">
        <x:v>DigiKey</x:v>
      </x:c>
      <x:c r="E36" s="2" t="str">
        <x:v>USD</x:v>
      </x:c>
      <x:c r="F36" s="2" t="str">
        <x:v>2026-09-14</x:v>
      </x:c>
      <x:c r="G36" s="2" t="n">
        <x:v>0</x:v>
      </x:c>
      <x:c r="H36" s="2" t="n">
        <x:v>24</x:v>
      </x:c>
      <x:c r="I36" s="2" t="str">
        <x:v>Supplier snapshot; availability not guaranteed</x:v>
      </x:c>
    </x:row>
    <x:row r="37" ht="28" customHeight="1">
      <x:c r="A37" s="2" t="str">
        <x:v>LPS22HBTR</x:v>
      </x:c>
      <x:c r="B37" s="2" t="n">
        <x:v>5</x:v>
      </x:c>
      <x:c r="C37" s="28" t="n">
        <x:v>2.836</x:v>
      </x:c>
      <x:c r="D37" s="2" t="str">
        <x:v>DigiKey</x:v>
      </x:c>
      <x:c r="E37" s="2" t="str">
        <x:v>USD</x:v>
      </x:c>
      <x:c r="F37" s="2" t="str">
        <x:v>2026-09-14</x:v>
      </x:c>
      <x:c r="G37" s="2" t="n">
        <x:v>0</x:v>
      </x:c>
      <x:c r="H37" s="2" t="n">
        <x:v>24</x:v>
      </x:c>
      <x:c r="I37" s="2" t="str">
        <x:v>Supplier snapshot; availability not guaranteed</x:v>
      </x:c>
    </x:row>
    <x:row r="38" ht="28" customHeight="1">
      <x:c r="A38" s="2" t="str">
        <x:v>LPS22HBTR</x:v>
      </x:c>
      <x:c r="B38" s="2" t="n">
        <x:v>10</x:v>
      </x:c>
      <x:c r="C38" s="28" t="n">
        <x:v>2.707</x:v>
      </x:c>
      <x:c r="D38" s="2" t="str">
        <x:v>DigiKey</x:v>
      </x:c>
      <x:c r="E38" s="2" t="str">
        <x:v>USD</x:v>
      </x:c>
      <x:c r="F38" s="2" t="str">
        <x:v>2026-09-14</x:v>
      </x:c>
      <x:c r="G38" s="2" t="n">
        <x:v>0</x:v>
      </x:c>
      <x:c r="H38" s="2" t="n">
        <x:v>24</x:v>
      </x:c>
      <x:c r="I38" s="2" t="str">
        <x:v>Supplier snapshot; availability not guaranteed</x:v>
      </x:c>
    </x:row>
    <x:row r="39" ht="28" customHeight="1">
      <x:c r="A39" s="2" t="str">
        <x:v>LPS22HBTR</x:v>
      </x:c>
      <x:c r="B39" s="2" t="n">
        <x:v>25</x:v>
      </x:c>
      <x:c r="C39" s="28" t="n">
        <x:v>2.554</x:v>
      </x:c>
      <x:c r="D39" s="2" t="str">
        <x:v>DigiKey</x:v>
      </x:c>
      <x:c r="E39" s="2" t="str">
        <x:v>USD</x:v>
      </x:c>
      <x:c r="F39" s="2" t="str">
        <x:v>2026-09-14</x:v>
      </x:c>
      <x:c r="G39" s="2" t="n">
        <x:v>0</x:v>
      </x:c>
      <x:c r="H39" s="2" t="n">
        <x:v>24</x:v>
      </x:c>
      <x:c r="I39" s="2" t="str">
        <x:v>Supplier snapshot; availability not guaranteed</x:v>
      </x:c>
    </x:row>
    <x:row r="40" ht="28" customHeight="1">
      <x:c r="A40" s="2" t="str">
        <x:v>LPS22HBTR</x:v>
      </x:c>
      <x:c r="B40" s="2" t="n">
        <x:v>50</x:v>
      </x:c>
      <x:c r="C40" s="28" t="n">
        <x:v>2.4494</x:v>
      </x:c>
      <x:c r="D40" s="2" t="str">
        <x:v>DigiKey</x:v>
      </x:c>
      <x:c r="E40" s="2" t="str">
        <x:v>USD</x:v>
      </x:c>
      <x:c r="F40" s="2" t="str">
        <x:v>2026-09-14</x:v>
      </x:c>
      <x:c r="G40" s="2" t="n">
        <x:v>0</x:v>
      </x:c>
      <x:c r="H40" s="2" t="n">
        <x:v>24</x:v>
      </x:c>
      <x:c r="I40" s="2" t="str">
        <x:v>Supplier snapshot; availability not guaranteed</x:v>
      </x:c>
    </x:row>
    <x:row r="41" ht="28" customHeight="1">
      <x:c r="A41" s="2" t="str">
        <x:v>LPS22HBTR</x:v>
      </x:c>
      <x:c r="B41" s="2" t="n">
        <x:v>100</x:v>
      </x:c>
      <x:c r="C41" s="28" t="n">
        <x:v>2.3536</x:v>
      </x:c>
      <x:c r="D41" s="2" t="str">
        <x:v>DigiKey</x:v>
      </x:c>
      <x:c r="E41" s="2" t="str">
        <x:v>USD</x:v>
      </x:c>
      <x:c r="F41" s="2" t="str">
        <x:v>2026-09-14</x:v>
      </x:c>
      <x:c r="G41" s="2" t="n">
        <x:v>0</x:v>
      </x:c>
      <x:c r="H41" s="2" t="n">
        <x:v>24</x:v>
      </x:c>
      <x:c r="I41" s="2" t="str">
        <x:v>Supplier snapshot; availability not guaranteed</x:v>
      </x:c>
    </x:row>
    <x:row r="42" ht="28" customHeight="1">
      <x:c r="A42" s="2" t="str">
        <x:v>LPS22HBTR</x:v>
      </x:c>
      <x:c r="B42" s="2" t="n">
        <x:v>500</x:v>
      </x:c>
      <x:c r="C42" s="28" t="n">
        <x:v>2.16088</x:v>
      </x:c>
      <x:c r="D42" s="2" t="str">
        <x:v>DigiKey</x:v>
      </x:c>
      <x:c r="E42" s="2" t="str">
        <x:v>USD</x:v>
      </x:c>
      <x:c r="F42" s="2" t="str">
        <x:v>2026-09-14</x:v>
      </x:c>
      <x:c r="G42" s="2" t="n">
        <x:v>0</x:v>
      </x:c>
      <x:c r="H42" s="2" t="n">
        <x:v>24</x:v>
      </x:c>
      <x:c r="I42" s="2" t="str">
        <x:v>Supplier snapshot; availability not guaranteed</x:v>
      </x:c>
    </x:row>
    <x:row r="43" ht="28" customHeight="1">
      <x:c r="A43" s="2" t="str">
        <x:v>LPS22HBTR</x:v>
      </x:c>
      <x:c r="B43" s="2" t="n">
        <x:v>1000</x:v>
      </x:c>
      <x:c r="C43" s="28" t="n">
        <x:v>2.08915</x:v>
      </x:c>
      <x:c r="D43" s="2" t="str">
        <x:v>DigiKey</x:v>
      </x:c>
      <x:c r="E43" s="2" t="str">
        <x:v>USD</x:v>
      </x:c>
      <x:c r="F43" s="2" t="str">
        <x:v>2026-09-14</x:v>
      </x:c>
      <x:c r="G43" s="2" t="n">
        <x:v>0</x:v>
      </x:c>
      <x:c r="H43" s="2" t="n">
        <x:v>24</x:v>
      </x:c>
      <x:c r="I43" s="2" t="str">
        <x:v>Supplier snapshot; availability not guaranteed</x:v>
      </x:c>
    </x:row>
    <x:row r="44" ht="28" customHeight="1">
      <x:c r="A44" s="2" t="str">
        <x:v>LIS2MDLTR</x:v>
      </x:c>
      <x:c r="B44" s="2" t="n">
        <x:v>1</x:v>
      </x:c>
      <x:c r="C44" s="28" t="n">
        <x:v>2.75</x:v>
      </x:c>
      <x:c r="D44" s="2" t="str">
        <x:v>DigiKey</x:v>
      </x:c>
      <x:c r="E44" s="2" t="str">
        <x:v>USD</x:v>
      </x:c>
      <x:c r="F44" s="2" t="str">
        <x:v>2026-09-14</x:v>
      </x:c>
      <x:c r="G44" s="2" t="n">
        <x:v>0</x:v>
      </x:c>
      <x:c r="H44" s="2"/>
      <x:c r="I44" s="2" t="str">
        <x:v>Supplier snapshot; availability not guaranteed</x:v>
      </x:c>
    </x:row>
    <x:row r="45" ht="28" customHeight="1">
      <x:c r="A45" s="2" t="str">
        <x:v>LIS2MDLTR</x:v>
      </x:c>
      <x:c r="B45" s="2" t="n">
        <x:v>5</x:v>
      </x:c>
      <x:c r="C45" s="28" t="n">
        <x:v>2.448</x:v>
      </x:c>
      <x:c r="D45" s="2" t="str">
        <x:v>DigiKey</x:v>
      </x:c>
      <x:c r="E45" s="2" t="str">
        <x:v>USD</x:v>
      </x:c>
      <x:c r="F45" s="2" t="str">
        <x:v>2026-09-14</x:v>
      </x:c>
      <x:c r="G45" s="2" t="n">
        <x:v>0</x:v>
      </x:c>
      <x:c r="H45" s="2"/>
      <x:c r="I45" s="2" t="str">
        <x:v>Supplier snapshot; availability not guaranteed</x:v>
      </x:c>
    </x:row>
    <x:row r="46" ht="28" customHeight="1">
      <x:c r="A46" s="2" t="str">
        <x:v>LIS2MDLTR</x:v>
      </x:c>
      <x:c r="B46" s="2" t="n">
        <x:v>10</x:v>
      </x:c>
      <x:c r="C46" s="28" t="n">
        <x:v>2.335</x:v>
      </x:c>
      <x:c r="D46" s="2" t="str">
        <x:v>DigiKey</x:v>
      </x:c>
      <x:c r="E46" s="2" t="str">
        <x:v>USD</x:v>
      </x:c>
      <x:c r="F46" s="2" t="str">
        <x:v>2026-09-14</x:v>
      </x:c>
      <x:c r="G46" s="2" t="n">
        <x:v>0</x:v>
      </x:c>
      <x:c r="H46" s="2"/>
      <x:c r="I46" s="2" t="str">
        <x:v>Supplier snapshot; availability not guaranteed</x:v>
      </x:c>
    </x:row>
    <x:row r="47" ht="28" customHeight="1">
      <x:c r="A47" s="2" t="str">
        <x:v>LIS2MDLTR</x:v>
      </x:c>
      <x:c r="B47" s="2" t="n">
        <x:v>25</x:v>
      </x:c>
      <x:c r="C47" s="28" t="n">
        <x:v>2.2008</x:v>
      </x:c>
      <x:c r="D47" s="2" t="str">
        <x:v>DigiKey</x:v>
      </x:c>
      <x:c r="E47" s="2" t="str">
        <x:v>USD</x:v>
      </x:c>
      <x:c r="F47" s="2" t="str">
        <x:v>2026-09-14</x:v>
      </x:c>
      <x:c r="G47" s="2" t="n">
        <x:v>0</x:v>
      </x:c>
      <x:c r="H47" s="2"/>
      <x:c r="I47" s="2" t="str">
        <x:v>Supplier snapshot; availability not guaranteed</x:v>
      </x:c>
    </x:row>
    <x:row r="48" ht="28" customHeight="1">
      <x:c r="A48" s="2" t="str">
        <x:v>LIS2MDLTR</x:v>
      </x:c>
      <x:c r="B48" s="2" t="n">
        <x:v>50</x:v>
      </x:c>
      <x:c r="C48" s="28" t="n">
        <x:v>2.1092</x:v>
      </x:c>
      <x:c r="D48" s="2" t="str">
        <x:v>DigiKey</x:v>
      </x:c>
      <x:c r="E48" s="2" t="str">
        <x:v>USD</x:v>
      </x:c>
      <x:c r="F48" s="2" t="str">
        <x:v>2026-09-14</x:v>
      </x:c>
      <x:c r="G48" s="2" t="n">
        <x:v>0</x:v>
      </x:c>
      <x:c r="H48" s="2"/>
      <x:c r="I48" s="2" t="str">
        <x:v>Supplier snapshot; availability not guaranteed</x:v>
      </x:c>
    </x:row>
    <x:row r="49" ht="28" customHeight="1">
      <x:c r="A49" s="2" t="str">
        <x:v>LIS2MDLTR</x:v>
      </x:c>
      <x:c r="B49" s="2" t="n">
        <x:v>100</x:v>
      </x:c>
      <x:c r="C49" s="28" t="n">
        <x:v>2.0251</x:v>
      </x:c>
      <x:c r="D49" s="2" t="str">
        <x:v>DigiKey</x:v>
      </x:c>
      <x:c r="E49" s="2" t="str">
        <x:v>USD</x:v>
      </x:c>
      <x:c r="F49" s="2" t="str">
        <x:v>2026-09-14</x:v>
      </x:c>
      <x:c r="G49" s="2" t="n">
        <x:v>0</x:v>
      </x:c>
      <x:c r="H49" s="2"/>
      <x:c r="I49" s="2" t="str">
        <x:v>Supplier snapshot; availability not guaranteed</x:v>
      </x:c>
    </x:row>
    <x:row r="50" ht="28" customHeight="1">
      <x:c r="A50" s="2" t="str">
        <x:v>LIS2MDLTR</x:v>
      </x:c>
      <x:c r="B50" s="2" t="n">
        <x:v>500</x:v>
      </x:c>
      <x:c r="C50" s="28" t="n">
        <x:v>1.85622</x:v>
      </x:c>
      <x:c r="D50" s="2" t="str">
        <x:v>DigiKey</x:v>
      </x:c>
      <x:c r="E50" s="2" t="str">
        <x:v>USD</x:v>
      </x:c>
      <x:c r="F50" s="2" t="str">
        <x:v>2026-09-14</x:v>
      </x:c>
      <x:c r="G50" s="2" t="n">
        <x:v>0</x:v>
      </x:c>
      <x:c r="H50" s="2"/>
      <x:c r="I50" s="2" t="str">
        <x:v>Supplier snapshot; availability not guaranteed</x:v>
      </x:c>
    </x:row>
    <x:row r="51" ht="28" customHeight="1">
      <x:c r="A51" s="2" t="str">
        <x:v>LIS2MDLTR</x:v>
      </x:c>
      <x:c r="B51" s="2" t="n">
        <x:v>1000</x:v>
      </x:c>
      <x:c r="C51" s="28" t="n">
        <x:v>1.79334</x:v>
      </x:c>
      <x:c r="D51" s="2" t="str">
        <x:v>DigiKey</x:v>
      </x:c>
      <x:c r="E51" s="2" t="str">
        <x:v>USD</x:v>
      </x:c>
      <x:c r="F51" s="2" t="str">
        <x:v>2026-09-14</x:v>
      </x:c>
      <x:c r="G51" s="2" t="n">
        <x:v>0</x:v>
      </x:c>
      <x:c r="H51" s="2"/>
      <x:c r="I51" s="2" t="str">
        <x:v>Supplier snapshot; availability not guaranteed</x:v>
      </x:c>
    </x:row>
    <x:row r="52" ht="28" customHeight="1">
      <x:c r="A52" s="2" t="str">
        <x:v>TESEO-LIV3R</x:v>
      </x:c>
      <x:c r="B52" s="2" t="n">
        <x:v>1</x:v>
      </x:c>
      <x:c r="C52" s="28" t="n">
        <x:v>9.23</x:v>
      </x:c>
      <x:c r="D52" s="2" t="str">
        <x:v>DigiKey</x:v>
      </x:c>
      <x:c r="E52" s="2" t="str">
        <x:v>USD</x:v>
      </x:c>
      <x:c r="F52" s="2" t="str">
        <x:v>2026-09-14</x:v>
      </x:c>
      <x:c r="G52" s="2"/>
      <x:c r="H52" s="2"/>
      <x:c r="I52" s="2" t="str">
        <x:v>Supplier snapshot; availability not guaranteed</x:v>
      </x:c>
    </x:row>
    <x:row r="53" ht="28" customHeight="1">
      <x:c r="A53" s="2" t="str">
        <x:v>TESEO-LIV3R</x:v>
      </x:c>
      <x:c r="B53" s="2" t="n">
        <x:v>10</x:v>
      </x:c>
      <x:c r="C53" s="28" t="n">
        <x:v>8.012</x:v>
      </x:c>
      <x:c r="D53" s="2" t="str">
        <x:v>DigiKey</x:v>
      </x:c>
      <x:c r="E53" s="2" t="str">
        <x:v>USD</x:v>
      </x:c>
      <x:c r="F53" s="2" t="str">
        <x:v>2026-09-14</x:v>
      </x:c>
      <x:c r="G53" s="2"/>
      <x:c r="H53" s="2"/>
      <x:c r="I53" s="2" t="str">
        <x:v>Supplier snapshot; availability not guaranteed</x:v>
      </x:c>
    </x:row>
    <x:row r="54" ht="28" customHeight="1">
      <x:c r="A54" s="2" t="str">
        <x:v>TESEO-LIV3R</x:v>
      </x:c>
      <x:c r="B54" s="2" t="n">
        <x:v>25</x:v>
      </x:c>
      <x:c r="C54" s="28" t="n">
        <x:v>7.588</x:v>
      </x:c>
      <x:c r="D54" s="2" t="str">
        <x:v>DigiKey</x:v>
      </x:c>
      <x:c r="E54" s="2" t="str">
        <x:v>USD</x:v>
      </x:c>
      <x:c r="F54" s="2" t="str">
        <x:v>2026-09-14</x:v>
      </x:c>
      <x:c r="G54" s="2"/>
      <x:c r="H54" s="2"/>
      <x:c r="I54" s="2" t="str">
        <x:v>Supplier snapshot; availability not guaranteed</x:v>
      </x:c>
    </x:row>
    <x:row r="55" ht="28" customHeight="1">
      <x:c r="A55" s="2" t="str">
        <x:v>TESEO-LIV3R</x:v>
      </x:c>
      <x:c r="B55" s="2" t="n">
        <x:v>100</x:v>
      </x:c>
      <x:c r="C55" s="28" t="n">
        <x:v>7.0057</x:v>
      </x:c>
      <x:c r="D55" s="2" t="str">
        <x:v>DigiKey</x:v>
      </x:c>
      <x:c r="E55" s="2" t="str">
        <x:v>USD</x:v>
      </x:c>
      <x:c r="F55" s="2" t="str">
        <x:v>2026-09-14</x:v>
      </x:c>
      <x:c r="G55" s="2"/>
      <x:c r="H55" s="2"/>
      <x:c r="I55" s="2" t="str">
        <x:v>Supplier snapshot; availability not guaranteed</x:v>
      </x:c>
    </x:row>
    <x:row r="56" ht="28" customHeight="1">
      <x:c r="A56" s="2" t="str">
        <x:v>TESEO-LIV3R</x:v>
      </x:c>
      <x:c r="B56" s="2" t="n">
        <x:v>250</x:v>
      </x:c>
      <x:c r="C56" s="28" t="n">
        <x:v>6.65688</x:v>
      </x:c>
      <x:c r="D56" s="2" t="str">
        <x:v>DigiKey</x:v>
      </x:c>
      <x:c r="E56" s="2" t="str">
        <x:v>USD</x:v>
      </x:c>
      <x:c r="F56" s="2" t="str">
        <x:v>2026-09-14</x:v>
      </x:c>
      <x:c r="G56" s="2"/>
      <x:c r="H56" s="2"/>
      <x:c r="I56" s="2" t="str">
        <x:v>Supplier snapshot; availability not guaranteed</x:v>
      </x:c>
    </x:row>
    <x:row r="57" ht="28" customHeight="1">
      <x:c r="A57" s="2" t="str">
        <x:v>TESEO-LIV3R</x:v>
      </x:c>
      <x:c r="B57" s="2" t="n">
        <x:v>500</x:v>
      </x:c>
      <x:c r="C57" s="28" t="n">
        <x:v>6.41064</x:v>
      </x:c>
      <x:c r="D57" s="2" t="str">
        <x:v>DigiKey</x:v>
      </x:c>
      <x:c r="E57" s="2" t="str">
        <x:v>USD</x:v>
      </x:c>
      <x:c r="F57" s="2" t="str">
        <x:v>2026-09-14</x:v>
      </x:c>
      <x:c r="G57" s="2"/>
      <x:c r="H57" s="2"/>
      <x:c r="I57" s="2" t="str">
        <x:v>Supplier snapshot; availability not guaranteed</x:v>
      </x:c>
    </x:row>
    <x:row r="58" ht="28" customHeight="1">
      <x:c r="A58" s="2" t="str">
        <x:v>HHM1595A1</x:v>
      </x:c>
      <x:c r="B58" s="2" t="n">
        <x:v>1</x:v>
      </x:c>
      <x:c r="C58" s="28" t="n">
        <x:v>0.51</x:v>
      </x:c>
      <x:c r="D58" s="2" t="str">
        <x:v>DigiKey</x:v>
      </x:c>
      <x:c r="E58" s="2" t="str">
        <x:v>USD</x:v>
      </x:c>
      <x:c r="F58" s="2" t="str">
        <x:v>2026-09-14</x:v>
      </x:c>
      <x:c r="G58" s="2" t="n">
        <x:v>43990</x:v>
      </x:c>
      <x:c r="H58" s="2"/>
      <x:c r="I58" s="2" t="str">
        <x:v>Supplier snapshot; availability not guaranteed</x:v>
      </x:c>
    </x:row>
    <x:row r="59" ht="28" customHeight="1">
      <x:c r="A59" s="2" t="str">
        <x:v>HHM1595A1</x:v>
      </x:c>
      <x:c r="B59" s="2" t="n">
        <x:v>10</x:v>
      </x:c>
      <x:c r="C59" s="28" t="n">
        <x:v>0.359</x:v>
      </x:c>
      <x:c r="D59" s="2" t="str">
        <x:v>DigiKey</x:v>
      </x:c>
      <x:c r="E59" s="2" t="str">
        <x:v>USD</x:v>
      </x:c>
      <x:c r="F59" s="2" t="str">
        <x:v>2026-09-14</x:v>
      </x:c>
      <x:c r="G59" s="2" t="n">
        <x:v>43990</x:v>
      </x:c>
      <x:c r="H59" s="2"/>
      <x:c r="I59" s="2" t="str">
        <x:v>Supplier snapshot; availability not guaranteed</x:v>
      </x:c>
    </x:row>
    <x:row r="60" ht="28" customHeight="1">
      <x:c r="A60" s="2" t="str">
        <x:v>HHM1595A1</x:v>
      </x:c>
      <x:c r="B60" s="2" t="n">
        <x:v>25</x:v>
      </x:c>
      <x:c r="C60" s="28" t="n">
        <x:v>0.3104</x:v>
      </x:c>
      <x:c r="D60" s="2" t="str">
        <x:v>DigiKey</x:v>
      </x:c>
      <x:c r="E60" s="2" t="str">
        <x:v>USD</x:v>
      </x:c>
      <x:c r="F60" s="2" t="str">
        <x:v>2026-09-14</x:v>
      </x:c>
      <x:c r="G60" s="2" t="n">
        <x:v>43990</x:v>
      </x:c>
      <x:c r="H60" s="2"/>
      <x:c r="I60" s="2" t="str">
        <x:v>Supplier snapshot; availability not guaranteed</x:v>
      </x:c>
    </x:row>
    <x:row r="61" ht="28" customHeight="1">
      <x:c r="A61" s="2" t="str">
        <x:v>HHM1595A1</x:v>
      </x:c>
      <x:c r="B61" s="2" t="n">
        <x:v>50</x:v>
      </x:c>
      <x:c r="C61" s="28" t="n">
        <x:v>0.2768</x:v>
      </x:c>
      <x:c r="D61" s="2" t="str">
        <x:v>DigiKey</x:v>
      </x:c>
      <x:c r="E61" s="2" t="str">
        <x:v>USD</x:v>
      </x:c>
      <x:c r="F61" s="2" t="str">
        <x:v>2026-09-14</x:v>
      </x:c>
      <x:c r="G61" s="2" t="n">
        <x:v>43990</x:v>
      </x:c>
      <x:c r="H61" s="2"/>
      <x:c r="I61" s="2" t="str">
        <x:v>Supplier snapshot; availability not guaranteed</x:v>
      </x:c>
    </x:row>
    <x:row r="62" ht="28" customHeight="1">
      <x:c r="A62" s="2" t="str">
        <x:v>HHM1595A1</x:v>
      </x:c>
      <x:c r="B62" s="2" t="n">
        <x:v>100</x:v>
      </x:c>
      <x:c r="C62" s="28" t="n">
        <x:v>0.2459</x:v>
      </x:c>
      <x:c r="D62" s="2" t="str">
        <x:v>DigiKey</x:v>
      </x:c>
      <x:c r="E62" s="2" t="str">
        <x:v>USD</x:v>
      </x:c>
      <x:c r="F62" s="2" t="str">
        <x:v>2026-09-14</x:v>
      </x:c>
      <x:c r="G62" s="2" t="n">
        <x:v>43990</x:v>
      </x:c>
      <x:c r="H62" s="2"/>
      <x:c r="I62" s="2" t="str">
        <x:v>Supplier snapshot; availability not guaranteed</x:v>
      </x:c>
    </x:row>
    <x:row r="63" ht="28" customHeight="1">
      <x:c r="A63" s="2" t="str">
        <x:v>HHM1595A1</x:v>
      </x:c>
      <x:c r="B63" s="2" t="n">
        <x:v>250</x:v>
      </x:c>
      <x:c r="C63" s="28" t="n">
        <x:v>0.2086</x:v>
      </x:c>
      <x:c r="D63" s="2" t="str">
        <x:v>DigiKey</x:v>
      </x:c>
      <x:c r="E63" s="2" t="str">
        <x:v>USD</x:v>
      </x:c>
      <x:c r="F63" s="2" t="str">
        <x:v>2026-09-14</x:v>
      </x:c>
      <x:c r="G63" s="2" t="n">
        <x:v>43990</x:v>
      </x:c>
      <x:c r="H63" s="2"/>
      <x:c r="I63" s="2" t="str">
        <x:v>Supplier snapshot; availability not guaranteed</x:v>
      </x:c>
    </x:row>
    <x:row r="64" ht="28" customHeight="1">
      <x:c r="A64" s="2" t="str">
        <x:v>HHM1595A1</x:v>
      </x:c>
      <x:c r="B64" s="2" t="n">
        <x:v>500</x:v>
      </x:c>
      <x:c r="C64" s="28" t="n">
        <x:v>0.18268</x:v>
      </x:c>
      <x:c r="D64" s="2" t="str">
        <x:v>DigiKey</x:v>
      </x:c>
      <x:c r="E64" s="2" t="str">
        <x:v>USD</x:v>
      </x:c>
      <x:c r="F64" s="2" t="str">
        <x:v>2026-09-14</x:v>
      </x:c>
      <x:c r="G64" s="2" t="n">
        <x:v>43990</x:v>
      </x:c>
      <x:c r="H64" s="2"/>
      <x:c r="I64" s="2" t="str">
        <x:v>Supplier snapshot; availability not guaranteed</x:v>
      </x:c>
    </x:row>
    <x:row r="65" ht="28" customHeight="1">
      <x:c r="A65" s="2" t="str">
        <x:v>HHM1595A1</x:v>
      </x:c>
      <x:c r="B65" s="2" t="n">
        <x:v>1000</x:v>
      </x:c>
      <x:c r="C65" s="28" t="n">
        <x:v>0.16526</x:v>
      </x:c>
      <x:c r="D65" s="2" t="str">
        <x:v>DigiKey</x:v>
      </x:c>
      <x:c r="E65" s="2" t="str">
        <x:v>USD</x:v>
      </x:c>
      <x:c r="F65" s="2" t="str">
        <x:v>2026-09-14</x:v>
      </x:c>
      <x:c r="G65" s="2" t="n">
        <x:v>43990</x:v>
      </x:c>
      <x:c r="H65" s="2"/>
      <x:c r="I65" s="2" t="str">
        <x:v>Supplier snapshot; availability not guaranteed</x:v>
      </x:c>
    </x:row>
    <x:row r="66" ht="28" customHeight="1">
      <x:c r="A66" s="2" t="str">
        <x:v>DW1000-I-TR13</x:v>
      </x:c>
      <x:c r="B66" s="2" t="n">
        <x:v>1</x:v>
      </x:c>
      <x:c r="C66" s="28" t="n">
        <x:v>11.59</x:v>
      </x:c>
      <x:c r="D66" s="2" t="str">
        <x:v>Qorvo store</x:v>
      </x:c>
      <x:c r="E66" s="2" t="str">
        <x:v>USD</x:v>
      </x:c>
      <x:c r="F66" s="2" t="str">
        <x:v>2026-09-14</x:v>
      </x:c>
      <x:c r="G66" s="2" t="n">
        <x:v>42</x:v>
      </x:c>
      <x:c r="H66" s="2"/>
      <x:c r="I66" s="2" t="str">
        <x:v>Supplier snapshot; availability not guaranteed</x:v>
      </x:c>
    </x:row>
    <x:row r="67" ht="28" customHeight="1">
      <x:c r="A67" s="2" t="str">
        <x:v>DW1000-I-TR13</x:v>
      </x:c>
      <x:c r="B67" s="2" t="n">
        <x:v>25</x:v>
      </x:c>
      <x:c r="C67" s="28" t="n">
        <x:v>10.29</x:v>
      </x:c>
      <x:c r="D67" s="2" t="str">
        <x:v>Qorvo store</x:v>
      </x:c>
      <x:c r="E67" s="2" t="str">
        <x:v>USD</x:v>
      </x:c>
      <x:c r="F67" s="2" t="str">
        <x:v>2026-09-14</x:v>
      </x:c>
      <x:c r="G67" s="2" t="n">
        <x:v>42</x:v>
      </x:c>
      <x:c r="H67" s="2"/>
      <x:c r="I67" s="2" t="str">
        <x:v>Supplier snapshot; availability not guaranteed</x:v>
      </x:c>
    </x:row>
    <x:row r="68" ht="28" customHeight="1">
      <x:c r="A68" s="2" t="str">
        <x:v>DW1000-I-TR13</x:v>
      </x:c>
      <x:c r="B68" s="2" t="n">
        <x:v>100</x:v>
      </x:c>
      <x:c r="C68" s="28" t="n">
        <x:v>9.48</x:v>
      </x:c>
      <x:c r="D68" s="2" t="str">
        <x:v>Qorvo store</x:v>
      </x:c>
      <x:c r="E68" s="2" t="str">
        <x:v>USD</x:v>
      </x:c>
      <x:c r="F68" s="2" t="str">
        <x:v>2026-09-14</x:v>
      </x:c>
      <x:c r="G68" s="2" t="n">
        <x:v>42</x:v>
      </x:c>
      <x:c r="H68" s="2"/>
      <x:c r="I68" s="2" t="str">
        <x:v>Supplier snapshot; availability not guaranteed</x:v>
      </x:c>
    </x:row>
    <x:row r="69" ht="28" customHeight="1">
      <x:c r="A69" s="2" t="str">
        <x:v>SX1280IMLTRT</x:v>
      </x:c>
      <x:c r="B69" s="2" t="n">
        <x:v>1</x:v>
      </x:c>
      <x:c r="C69" s="28" t="n">
        <x:v>7.68</x:v>
      </x:c>
      <x:c r="D69" s="2" t="str">
        <x:v>DigiKey</x:v>
      </x:c>
      <x:c r="E69" s="2" t="str">
        <x:v>USD</x:v>
      </x:c>
      <x:c r="F69" s="2" t="str">
        <x:v>2026-09-14</x:v>
      </x:c>
      <x:c r="G69" s="2" t="n">
        <x:v>12787</x:v>
      </x:c>
      <x:c r="H69" s="2" t="n">
        <x:v>16</x:v>
      </x:c>
      <x:c r="I69" s="2" t="str">
        <x:v>Supplier snapshot; availability not guaranteed</x:v>
      </x:c>
    </x:row>
    <x:row r="70" ht="28" customHeight="1">
      <x:c r="A70" s="2" t="str">
        <x:v>SX1280IMLTRT</x:v>
      </x:c>
      <x:c r="B70" s="2" t="n">
        <x:v>10</x:v>
      </x:c>
      <x:c r="C70" s="28" t="n">
        <x:v>6.655</x:v>
      </x:c>
      <x:c r="D70" s="2" t="str">
        <x:v>DigiKey</x:v>
      </x:c>
      <x:c r="E70" s="2" t="str">
        <x:v>USD</x:v>
      </x:c>
      <x:c r="F70" s="2" t="str">
        <x:v>2026-09-14</x:v>
      </x:c>
      <x:c r="G70" s="2" t="n">
        <x:v>12787</x:v>
      </x:c>
      <x:c r="H70" s="2" t="n">
        <x:v>16</x:v>
      </x:c>
      <x:c r="I70" s="2" t="str">
        <x:v>Supplier snapshot; availability not guaranteed</x:v>
      </x:c>
    </x:row>
    <x:row r="71" ht="28" customHeight="1">
      <x:c r="A71" s="2" t="str">
        <x:v>SX1280IMLTRT</x:v>
      </x:c>
      <x:c r="B71" s="2" t="n">
        <x:v>25</x:v>
      </x:c>
      <x:c r="C71" s="28" t="n">
        <x:v>6.2992</x:v>
      </x:c>
      <x:c r="D71" s="2" t="str">
        <x:v>DigiKey</x:v>
      </x:c>
      <x:c r="E71" s="2" t="str">
        <x:v>USD</x:v>
      </x:c>
      <x:c r="F71" s="2" t="str">
        <x:v>2026-09-14</x:v>
      </x:c>
      <x:c r="G71" s="2" t="n">
        <x:v>12787</x:v>
      </x:c>
      <x:c r="H71" s="2" t="n">
        <x:v>16</x:v>
      </x:c>
      <x:c r="I71" s="2" t="str">
        <x:v>Supplier snapshot; availability not guaranteed</x:v>
      </x:c>
    </x:row>
    <x:row r="72" ht="28" customHeight="1">
      <x:c r="A72" s="2" t="str">
        <x:v>SX1280IMLTRT</x:v>
      </x:c>
      <x:c r="B72" s="2" t="n">
        <x:v>100</x:v>
      </x:c>
      <x:c r="C72" s="28" t="n">
        <x:v>5.8102</x:v>
      </x:c>
      <x:c r="D72" s="2" t="str">
        <x:v>DigiKey</x:v>
      </x:c>
      <x:c r="E72" s="2" t="str">
        <x:v>USD</x:v>
      </x:c>
      <x:c r="F72" s="2" t="str">
        <x:v>2026-09-14</x:v>
      </x:c>
      <x:c r="G72" s="2" t="n">
        <x:v>12787</x:v>
      </x:c>
      <x:c r="H72" s="2" t="n">
        <x:v>16</x:v>
      </x:c>
      <x:c r="I72" s="2" t="str">
        <x:v>Supplier snapshot; availability not guaranteed</x:v>
      </x:c>
    </x:row>
    <x:row r="73" ht="28" customHeight="1">
      <x:c r="A73" s="2" t="str">
        <x:v>SX1280IMLTRT</x:v>
      </x:c>
      <x:c r="B73" s="2" t="n">
        <x:v>250</x:v>
      </x:c>
      <x:c r="C73" s="28" t="n">
        <x:v>5.51728</x:v>
      </x:c>
      <x:c r="D73" s="2" t="str">
        <x:v>DigiKey</x:v>
      </x:c>
      <x:c r="E73" s="2" t="str">
        <x:v>USD</x:v>
      </x:c>
      <x:c r="F73" s="2" t="str">
        <x:v>2026-09-14</x:v>
      </x:c>
      <x:c r="G73" s="2" t="n">
        <x:v>12787</x:v>
      </x:c>
      <x:c r="H73" s="2" t="n">
        <x:v>16</x:v>
      </x:c>
      <x:c r="I73" s="2" t="str">
        <x:v>Supplier snapshot; availability not guaranteed</x:v>
      </x:c>
    </x:row>
    <x:row r="74" ht="28" customHeight="1">
      <x:c r="A74" s="2" t="str">
        <x:v>SX1280IMLTRT</x:v>
      </x:c>
      <x:c r="B74" s="2" t="n">
        <x:v>500</x:v>
      </x:c>
      <x:c r="C74" s="28" t="n">
        <x:v>5.31054</x:v>
      </x:c>
      <x:c r="D74" s="2" t="str">
        <x:v>DigiKey</x:v>
      </x:c>
      <x:c r="E74" s="2" t="str">
        <x:v>USD</x:v>
      </x:c>
      <x:c r="F74" s="2" t="str">
        <x:v>2026-09-14</x:v>
      </x:c>
      <x:c r="G74" s="2" t="n">
        <x:v>12787</x:v>
      </x:c>
      <x:c r="H74" s="2" t="n">
        <x:v>16</x:v>
      </x:c>
      <x:c r="I74" s="2" t="str">
        <x:v>Supplier snapshot; availability not guaranteed</x:v>
      </x:c>
    </x:row>
    <x:row r="75" ht="28" customHeight="1">
      <x:c r="A75" s="2" t="str">
        <x:v>SX1280IMLTRT</x:v>
      </x:c>
      <x:c r="B75" s="2" t="n">
        <x:v>1000</x:v>
      </x:c>
      <x:c r="C75" s="28" t="n">
        <x:v>5.11576</x:v>
      </x:c>
      <x:c r="D75" s="2" t="str">
        <x:v>DigiKey</x:v>
      </x:c>
      <x:c r="E75" s="2" t="str">
        <x:v>USD</x:v>
      </x:c>
      <x:c r="F75" s="2" t="str">
        <x:v>2026-09-14</x:v>
      </x:c>
      <x:c r="G75" s="2" t="n">
        <x:v>12787</x:v>
      </x:c>
      <x:c r="H75" s="2" t="n">
        <x:v>16</x:v>
      </x:c>
      <x:c r="I75" s="2" t="str">
        <x:v>Supplier snapshot; availability not guaranteed</x:v>
      </x:c>
    </x:row>
    <x:row r="76" ht="28" customHeight="1">
      <x:c r="A76" s="2" t="str">
        <x:v>ST33HTPH2X32AHE4</x:v>
      </x:c>
      <x:c r="B76" s="2" t="n">
        <x:v>1</x:v>
      </x:c>
      <x:c r="C76" s="28" t="n">
        <x:v>4.61</x:v>
      </x:c>
      <x:c r="D76" s="2" t="str">
        <x:v>DigiKey</x:v>
      </x:c>
      <x:c r="E76" s="2" t="str">
        <x:v>USD</x:v>
      </x:c>
      <x:c r="F76" s="2" t="str">
        <x:v>2026-09-14</x:v>
      </x:c>
      <x:c r="G76" s="2" t="n">
        <x:v>3398</x:v>
      </x:c>
      <x:c r="H76" s="2" t="n">
        <x:v>30</x:v>
      </x:c>
      <x:c r="I76" s="2" t="str">
        <x:v>Supplier snapshot; availability not guaranteed</x:v>
      </x:c>
    </x:row>
    <x:row r="77" ht="28" customHeight="1">
      <x:c r="A77" s="2" t="str">
        <x:v>ST33HTPH2X32AHE4</x:v>
      </x:c>
      <x:c r="B77" s="2" t="n">
        <x:v>10</x:v>
      </x:c>
      <x:c r="C77" s="28" t="n">
        <x:v>3.484</x:v>
      </x:c>
      <x:c r="D77" s="2" t="str">
        <x:v>DigiKey</x:v>
      </x:c>
      <x:c r="E77" s="2" t="str">
        <x:v>USD</x:v>
      </x:c>
      <x:c r="F77" s="2" t="str">
        <x:v>2026-09-14</x:v>
      </x:c>
      <x:c r="G77" s="2" t="n">
        <x:v>3398</x:v>
      </x:c>
      <x:c r="H77" s="2" t="n">
        <x:v>30</x:v>
      </x:c>
      <x:c r="I77" s="2" t="str">
        <x:v>Supplier snapshot; availability not guaranteed</x:v>
      </x:c>
    </x:row>
    <x:row r="78" ht="28" customHeight="1">
      <x:c r="A78" s="2" t="str">
        <x:v>ST33HTPH2X32AHE4</x:v>
      </x:c>
      <x:c r="B78" s="2" t="n">
        <x:v>50</x:v>
      </x:c>
      <x:c r="C78" s="28" t="n">
        <x:v>3.0334</x:v>
      </x:c>
      <x:c r="D78" s="2" t="str">
        <x:v>DigiKey</x:v>
      </x:c>
      <x:c r="E78" s="2" t="str">
        <x:v>USD</x:v>
      </x:c>
      <x:c r="F78" s="2" t="str">
        <x:v>2026-09-14</x:v>
      </x:c>
      <x:c r="G78" s="2" t="n">
        <x:v>3398</x:v>
      </x:c>
      <x:c r="H78" s="2" t="n">
        <x:v>30</x:v>
      </x:c>
      <x:c r="I78" s="2" t="str">
        <x:v>Supplier snapshot; availability not guaranteed</x:v>
      </x:c>
    </x:row>
    <x:row r="79" ht="28" customHeight="1">
      <x:c r="A79" s="2" t="str">
        <x:v>ST33HTPH2X32AHE4</x:v>
      </x:c>
      <x:c r="B79" s="2" t="n">
        <x:v>100</x:v>
      </x:c>
      <x:c r="C79" s="28" t="n">
        <x:v>2.8938</x:v>
      </x:c>
      <x:c r="D79" s="2" t="str">
        <x:v>DigiKey</x:v>
      </x:c>
      <x:c r="E79" s="2" t="str">
        <x:v>USD</x:v>
      </x:c>
      <x:c r="F79" s="2" t="str">
        <x:v>2026-09-14</x:v>
      </x:c>
      <x:c r="G79" s="2" t="n">
        <x:v>3398</x:v>
      </x:c>
      <x:c r="H79" s="2" t="n">
        <x:v>30</x:v>
      </x:c>
      <x:c r="I79" s="2" t="str">
        <x:v>Supplier snapshot; availability not guaranteed</x:v>
      </x:c>
    </x:row>
    <x:row r="80" ht="28" customHeight="1">
      <x:c r="A80" s="2" t="str">
        <x:v>ST33HTPH2X32AHE4</x:v>
      </x:c>
      <x:c r="B80" s="2" t="n">
        <x:v>500</x:v>
      </x:c>
      <x:c r="C80" s="28" t="n">
        <x:v>2.65762</x:v>
      </x:c>
      <x:c r="D80" s="2" t="str">
        <x:v>DigiKey</x:v>
      </x:c>
      <x:c r="E80" s="2" t="str">
        <x:v>USD</x:v>
      </x:c>
      <x:c r="F80" s="2" t="str">
        <x:v>2026-09-14</x:v>
      </x:c>
      <x:c r="G80" s="2" t="n">
        <x:v>3398</x:v>
      </x:c>
      <x:c r="H80" s="2" t="n">
        <x:v>30</x:v>
      </x:c>
      <x:c r="I80" s="2" t="str">
        <x:v>Supplier snapshot; availability not guaranteed</x:v>
      </x:c>
    </x:row>
    <x:row r="81" ht="28" customHeight="1">
      <x:c r="A81" s="2" t="str">
        <x:v>LAN7800/Y9X</x:v>
      </x:c>
      <x:c r="B81" s="2" t="n">
        <x:v>1</x:v>
      </x:c>
      <x:c r="C81" s="28" t="n">
        <x:v>8.68</x:v>
      </x:c>
      <x:c r="D81" s="2" t="str">
        <x:v>DigiKey</x:v>
      </x:c>
      <x:c r="E81" s="2" t="str">
        <x:v>USD</x:v>
      </x:c>
      <x:c r="F81" s="2" t="str">
        <x:v>2026-09-14</x:v>
      </x:c>
      <x:c r="G81" s="2" t="n">
        <x:v>893</x:v>
      </x:c>
      <x:c r="H81" s="2" t="n">
        <x:v>20</x:v>
      </x:c>
      <x:c r="I81" s="2" t="str">
        <x:v>Supplier snapshot; availability not guaranteed</x:v>
      </x:c>
    </x:row>
    <x:row r="82" ht="28" customHeight="1">
      <x:c r="A82" s="2" t="str">
        <x:v>LAN7800/Y9X</x:v>
      </x:c>
      <x:c r="B82" s="2" t="n">
        <x:v>25</x:v>
      </x:c>
      <x:c r="C82" s="28" t="n">
        <x:v>7.23</x:v>
      </x:c>
      <x:c r="D82" s="2" t="str">
        <x:v>DigiKey</x:v>
      </x:c>
      <x:c r="E82" s="2" t="str">
        <x:v>USD</x:v>
      </x:c>
      <x:c r="F82" s="2" t="str">
        <x:v>2026-09-14</x:v>
      </x:c>
      <x:c r="G82" s="2" t="n">
        <x:v>893</x:v>
      </x:c>
      <x:c r="H82" s="2" t="n">
        <x:v>20</x:v>
      </x:c>
      <x:c r="I82" s="2" t="str">
        <x:v>Supplier snapshot; availability not guaranteed</x:v>
      </x:c>
    </x:row>
    <x:row r="83" ht="28" customHeight="1">
      <x:c r="A83" s="2" t="str">
        <x:v>LAN7800/Y9X</x:v>
      </x:c>
      <x:c r="B83" s="2" t="n">
        <x:v>100</x:v>
      </x:c>
      <x:c r="C83" s="28" t="n">
        <x:v>6.9875</x:v>
      </x:c>
      <x:c r="D83" s="2" t="str">
        <x:v>DigiKey</x:v>
      </x:c>
      <x:c r="E83" s="2" t="str">
        <x:v>USD</x:v>
      </x:c>
      <x:c r="F83" s="2" t="str">
        <x:v>2026-09-14</x:v>
      </x:c>
      <x:c r="G83" s="2" t="n">
        <x:v>893</x:v>
      </x:c>
      <x:c r="H83" s="2" t="n">
        <x:v>20</x:v>
      </x:c>
      <x:c r="I83" s="2" t="str">
        <x:v>Supplier snapshot; availability not guaranteed</x:v>
      </x:c>
    </x:row>
    <x:row r="84" ht="28" customHeight="1">
      <x:c r="A84" s="2" t="str">
        <x:v>USB5744-I/2G</x:v>
      </x:c>
      <x:c r="B84" s="2" t="n">
        <x:v>1</x:v>
      </x:c>
      <x:c r="C84" s="28" t="n">
        <x:v>6.54</x:v>
      </x:c>
      <x:c r="D84" s="2" t="str">
        <x:v>DigiKey</x:v>
      </x:c>
      <x:c r="E84" s="2" t="str">
        <x:v>USD</x:v>
      </x:c>
      <x:c r="F84" s="2" t="str">
        <x:v>2026-09-14</x:v>
      </x:c>
      <x:c r="G84" s="2" t="n">
        <x:v>918</x:v>
      </x:c>
      <x:c r="H84" s="2" t="n">
        <x:v>7</x:v>
      </x:c>
      <x:c r="I84" s="2" t="str">
        <x:v>Supplier snapshot; availability not guaranteed</x:v>
      </x:c>
    </x:row>
    <x:row r="85" ht="28" customHeight="1">
      <x:c r="A85" s="2" t="str">
        <x:v>USB5744-I/2G</x:v>
      </x:c>
      <x:c r="B85" s="2" t="n">
        <x:v>25</x:v>
      </x:c>
      <x:c r="C85" s="28" t="n">
        <x:v>5.45</x:v>
      </x:c>
      <x:c r="D85" s="2" t="str">
        <x:v>DigiKey</x:v>
      </x:c>
      <x:c r="E85" s="2" t="str">
        <x:v>USD</x:v>
      </x:c>
      <x:c r="F85" s="2" t="str">
        <x:v>2026-09-14</x:v>
      </x:c>
      <x:c r="G85" s="2" t="n">
        <x:v>918</x:v>
      </x:c>
      <x:c r="H85" s="2" t="n">
        <x:v>7</x:v>
      </x:c>
      <x:c r="I85" s="2" t="str">
        <x:v>Supplier snapshot; availability not guaranteed</x:v>
      </x:c>
    </x:row>
    <x:row r="86" ht="28" customHeight="1">
      <x:c r="A86" s="2" t="str">
        <x:v>USB5744-I/2G</x:v>
      </x:c>
      <x:c r="B86" s="2" t="n">
        <x:v>100</x:v>
      </x:c>
      <x:c r="C86" s="28" t="n">
        <x:v>5.2625</x:v>
      </x:c>
      <x:c r="D86" s="2" t="str">
        <x:v>DigiKey</x:v>
      </x:c>
      <x:c r="E86" s="2" t="str">
        <x:v>USD</x:v>
      </x:c>
      <x:c r="F86" s="2" t="str">
        <x:v>2026-09-14</x:v>
      </x:c>
      <x:c r="G86" s="2" t="n">
        <x:v>918</x:v>
      </x:c>
      <x:c r="H86" s="2" t="n">
        <x:v>7</x:v>
      </x:c>
      <x:c r="I86" s="2" t="str">
        <x:v>Supplier snapshot; availability not guaranteed</x:v>
      </x:c>
    </x:row>
    <x:row r="87" ht="28" customHeight="1">
      <x:c r="A87" s="2" t="str">
        <x:v>FM25V01A-GTR</x:v>
      </x:c>
      <x:c r="B87" s="2" t="n">
        <x:v>1</x:v>
      </x:c>
      <x:c r="C87" s="28" t="n">
        <x:v>6.48</x:v>
      </x:c>
      <x:c r="D87" s="2" t="str">
        <x:v>DigiKey</x:v>
      </x:c>
      <x:c r="E87" s="2" t="str">
        <x:v>USD</x:v>
      </x:c>
      <x:c r="F87" s="2" t="str">
        <x:v>2026-09-14</x:v>
      </x:c>
      <x:c r="G87" s="2" t="n">
        <x:v>13917</x:v>
      </x:c>
      <x:c r="H87" s="2"/>
      <x:c r="I87" s="2" t="str">
        <x:v>Supplier snapshot; availability not guaranteed</x:v>
      </x:c>
    </x:row>
    <x:row r="88" ht="28" customHeight="1">
      <x:c r="A88" s="2" t="str">
        <x:v>FM25V01A-GTR</x:v>
      </x:c>
      <x:c r="B88" s="2" t="n">
        <x:v>10</x:v>
      </x:c>
      <x:c r="C88" s="28" t="n">
        <x:v>6.032</x:v>
      </x:c>
      <x:c r="D88" s="2" t="str">
        <x:v>DigiKey</x:v>
      </x:c>
      <x:c r="E88" s="2" t="str">
        <x:v>USD</x:v>
      </x:c>
      <x:c r="F88" s="2" t="str">
        <x:v>2026-09-14</x:v>
      </x:c>
      <x:c r="G88" s="2" t="n">
        <x:v>13917</x:v>
      </x:c>
      <x:c r="H88" s="2"/>
      <x:c r="I88" s="2" t="str">
        <x:v>Supplier snapshot; availability not guaranteed</x:v>
      </x:c>
    </x:row>
    <x:row r="89" ht="28" customHeight="1">
      <x:c r="A89" s="2" t="str">
        <x:v>FM25V01A-GTR</x:v>
      </x:c>
      <x:c r="B89" s="2" t="n">
        <x:v>25</x:v>
      </x:c>
      <x:c r="C89" s="28" t="n">
        <x:v>5.8508</x:v>
      </x:c>
      <x:c r="D89" s="2" t="str">
        <x:v>DigiKey</x:v>
      </x:c>
      <x:c r="E89" s="2" t="str">
        <x:v>USD</x:v>
      </x:c>
      <x:c r="F89" s="2" t="str">
        <x:v>2026-09-14</x:v>
      </x:c>
      <x:c r="G89" s="2" t="n">
        <x:v>13917</x:v>
      </x:c>
      <x:c r="H89" s="2"/>
      <x:c r="I89" s="2" t="str">
        <x:v>Supplier snapshot; availability not guaranteed</x:v>
      </x:c>
    </x:row>
    <x:row r="90" ht="28" customHeight="1">
      <x:c r="A90" s="2" t="str">
        <x:v>FM25V01A-GTR</x:v>
      </x:c>
      <x:c r="B90" s="2" t="n">
        <x:v>50</x:v>
      </x:c>
      <x:c r="C90" s="28" t="n">
        <x:v>5.7138</x:v>
      </x:c>
      <x:c r="D90" s="2" t="str">
        <x:v>DigiKey</x:v>
      </x:c>
      <x:c r="E90" s="2" t="str">
        <x:v>USD</x:v>
      </x:c>
      <x:c r="F90" s="2" t="str">
        <x:v>2026-09-14</x:v>
      </x:c>
      <x:c r="G90" s="2" t="n">
        <x:v>13917</x:v>
      </x:c>
      <x:c r="H90" s="2"/>
      <x:c r="I90" s="2" t="str">
        <x:v>Supplier snapshot; availability not guaranteed</x:v>
      </x:c>
    </x:row>
    <x:row r="91" ht="28" customHeight="1">
      <x:c r="A91" s="2" t="str">
        <x:v>FM25V01A-GTR</x:v>
      </x:c>
      <x:c r="B91" s="2" t="n">
        <x:v>100</x:v>
      </x:c>
      <x:c r="C91" s="28" t="n">
        <x:v>5.577</x:v>
      </x:c>
      <x:c r="D91" s="2" t="str">
        <x:v>DigiKey</x:v>
      </x:c>
      <x:c r="E91" s="2" t="str">
        <x:v>USD</x:v>
      </x:c>
      <x:c r="F91" s="2" t="str">
        <x:v>2026-09-14</x:v>
      </x:c>
      <x:c r="G91" s="2" t="n">
        <x:v>13917</x:v>
      </x:c>
      <x:c r="H91" s="2"/>
      <x:c r="I91" s="2" t="str">
        <x:v>Supplier snapshot; availability not guaranteed</x:v>
      </x:c>
    </x:row>
    <x:row r="92" ht="28" customHeight="1">
      <x:c r="A92" s="2" t="str">
        <x:v>FM25V01A-GTR</x:v>
      </x:c>
      <x:c r="B92" s="2" t="n">
        <x:v>250</x:v>
      </x:c>
      <x:c r="C92" s="28" t="n">
        <x:v>5.39752</x:v>
      </x:c>
      <x:c r="D92" s="2" t="str">
        <x:v>DigiKey</x:v>
      </x:c>
      <x:c r="E92" s="2" t="str">
        <x:v>USD</x:v>
      </x:c>
      <x:c r="F92" s="2" t="str">
        <x:v>2026-09-14</x:v>
      </x:c>
      <x:c r="G92" s="2" t="n">
        <x:v>13917</x:v>
      </x:c>
      <x:c r="H92" s="2"/>
      <x:c r="I92" s="2" t="str">
        <x:v>Supplier snapshot; availability not guaranteed</x:v>
      </x:c>
    </x:row>
    <x:row r="93" ht="28" customHeight="1">
      <x:c r="A93" s="2" t="str">
        <x:v>FM25V01A-GTR</x:v>
      </x:c>
      <x:c r="B93" s="2" t="n">
        <x:v>500</x:v>
      </x:c>
      <x:c r="C93" s="28" t="n">
        <x:v>5.2633</x:v>
      </x:c>
      <x:c r="D93" s="2" t="str">
        <x:v>DigiKey</x:v>
      </x:c>
      <x:c r="E93" s="2" t="str">
        <x:v>USD</x:v>
      </x:c>
      <x:c r="F93" s="2" t="str">
        <x:v>2026-09-14</x:v>
      </x:c>
      <x:c r="G93" s="2" t="n">
        <x:v>13917</x:v>
      </x:c>
      <x:c r="H93" s="2"/>
      <x:c r="I93" s="2" t="str">
        <x:v>Supplier snapshot; availability not guaranteed</x:v>
      </x:c>
    </x:row>
    <x:row r="94" ht="28" customHeight="1">
      <x:c r="A94" s="2" t="str">
        <x:v>FM25V01A-GTR</x:v>
      </x:c>
      <x:c r="B94" s="2" t="n">
        <x:v>1000</x:v>
      </x:c>
      <x:c r="C94" s="28" t="n">
        <x:v>5.13093</x:v>
      </x:c>
      <x:c r="D94" s="2" t="str">
        <x:v>DigiKey</x:v>
      </x:c>
      <x:c r="E94" s="2" t="str">
        <x:v>USD</x:v>
      </x:c>
      <x:c r="F94" s="2" t="str">
        <x:v>2026-09-14</x:v>
      </x:c>
      <x:c r="G94" s="2" t="n">
        <x:v>13917</x:v>
      </x:c>
      <x:c r="H94" s="2"/>
      <x:c r="I94" s="2" t="str">
        <x:v>Supplier snapshot; availability not guaranteed</x:v>
      </x:c>
    </x:row>
    <x:row r="95" ht="28" customHeight="1">
      <x:c r="A95" s="2" t="str">
        <x:v>RFX2401C</x:v>
      </x:c>
      <x:c r="B95" s="2" t="n">
        <x:v>1</x:v>
      </x:c>
      <x:c r="C95" s="28" t="n">
        <x:v>1.74</x:v>
      </x:c>
      <x:c r="D95" s="2" t="str">
        <x:v>DigiKey</x:v>
      </x:c>
      <x:c r="E95" s="2" t="str">
        <x:v>USD</x:v>
      </x:c>
      <x:c r="F95" s="2" t="str">
        <x:v>2026-09-14</x:v>
      </x:c>
      <x:c r="G95" s="2" t="n">
        <x:v>77340</x:v>
      </x:c>
      <x:c r="H95" s="2" t="n">
        <x:v>19</x:v>
      </x:c>
      <x:c r="I95" s="2" t="str">
        <x:v>Supplier snapshot; availability not guaranteed</x:v>
      </x:c>
    </x:row>
    <x:row r="96" ht="28" customHeight="1">
      <x:c r="A96" s="2" t="str">
        <x:v>RFX2401C</x:v>
      </x:c>
      <x:c r="B96" s="2" t="n">
        <x:v>10</x:v>
      </x:c>
      <x:c r="C96" s="28" t="n">
        <x:v>1.494</x:v>
      </x:c>
      <x:c r="D96" s="2" t="str">
        <x:v>DigiKey</x:v>
      </x:c>
      <x:c r="E96" s="2" t="str">
        <x:v>USD</x:v>
      </x:c>
      <x:c r="F96" s="2" t="str">
        <x:v>2026-09-14</x:v>
      </x:c>
      <x:c r="G96" s="2" t="n">
        <x:v>77340</x:v>
      </x:c>
      <x:c r="H96" s="2" t="n">
        <x:v>19</x:v>
      </x:c>
      <x:c r="I96" s="2" t="str">
        <x:v>Supplier snapshot; availability not guaranteed</x:v>
      </x:c>
    </x:row>
    <x:row r="97" ht="28" customHeight="1">
      <x:c r="A97" s="2" t="str">
        <x:v>RFX2401C</x:v>
      </x:c>
      <x:c r="B97" s="2" t="n">
        <x:v>25</x:v>
      </x:c>
      <x:c r="C97" s="28" t="n">
        <x:v>1.4104</x:v>
      </x:c>
      <x:c r="D97" s="2" t="str">
        <x:v>DigiKey</x:v>
      </x:c>
      <x:c r="E97" s="2" t="str">
        <x:v>USD</x:v>
      </x:c>
      <x:c r="F97" s="2" t="str">
        <x:v>2026-09-14</x:v>
      </x:c>
      <x:c r="G97" s="2" t="n">
        <x:v>77340</x:v>
      </x:c>
      <x:c r="H97" s="2" t="n">
        <x:v>19</x:v>
      </x:c>
      <x:c r="I97" s="2" t="str">
        <x:v>Supplier snapshot; availability not guaranteed</x:v>
      </x:c>
    </x:row>
    <x:row r="98" ht="28" customHeight="1">
      <x:c r="A98" s="2" t="str">
        <x:v>RFX2401C</x:v>
      </x:c>
      <x:c r="B98" s="2" t="n">
        <x:v>100</x:v>
      </x:c>
      <x:c r="C98" s="28" t="n">
        <x:v>1.2945</x:v>
      </x:c>
      <x:c r="D98" s="2" t="str">
        <x:v>DigiKey</x:v>
      </x:c>
      <x:c r="E98" s="2" t="str">
        <x:v>USD</x:v>
      </x:c>
      <x:c r="F98" s="2" t="str">
        <x:v>2026-09-14</x:v>
      </x:c>
      <x:c r="G98" s="2" t="n">
        <x:v>77340</x:v>
      </x:c>
      <x:c r="H98" s="2" t="n">
        <x:v>19</x:v>
      </x:c>
      <x:c r="I98" s="2" t="str">
        <x:v>Supplier snapshot; availability not guaranteed</x:v>
      </x:c>
    </x:row>
    <x:row r="99" ht="28" customHeight="1">
      <x:c r="A99" s="2" t="str">
        <x:v>RFX2401C</x:v>
      </x:c>
      <x:c r="B99" s="2" t="n">
        <x:v>250</x:v>
      </x:c>
      <x:c r="C99" s="28" t="n">
        <x:v>1.22496</x:v>
      </x:c>
      <x:c r="D99" s="2" t="str">
        <x:v>DigiKey</x:v>
      </x:c>
      <x:c r="E99" s="2" t="str">
        <x:v>USD</x:v>
      </x:c>
      <x:c r="F99" s="2" t="str">
        <x:v>2026-09-14</x:v>
      </x:c>
      <x:c r="G99" s="2" t="n">
        <x:v>77340</x:v>
      </x:c>
      <x:c r="H99" s="2" t="n">
        <x:v>19</x:v>
      </x:c>
      <x:c r="I99" s="2" t="str">
        <x:v>Supplier snapshot; availability not guaranteed</x:v>
      </x:c>
    </x:row>
    <x:row r="100" ht="28" customHeight="1">
      <x:c r="A100" s="2" t="str">
        <x:v>RFX2401C</x:v>
      </x:c>
      <x:c r="B100" s="2" t="n">
        <x:v>500</x:v>
      </x:c>
      <x:c r="C100" s="28" t="n">
        <x:v>1.17578</x:v>
      </x:c>
      <x:c r="D100" s="2" t="str">
        <x:v>DigiKey</x:v>
      </x:c>
      <x:c r="E100" s="2" t="str">
        <x:v>USD</x:v>
      </x:c>
      <x:c r="F100" s="2" t="str">
        <x:v>2026-09-14</x:v>
      </x:c>
      <x:c r="G100" s="2" t="n">
        <x:v>77340</x:v>
      </x:c>
      <x:c r="H100" s="2" t="n">
        <x:v>19</x:v>
      </x:c>
      <x:c r="I100" s="2" t="str">
        <x:v>Supplier snapshot; availability not guaranteed</x:v>
      </x:c>
    </x:row>
    <x:row r="101" ht="28" customHeight="1">
      <x:c r="A101" s="2" t="str">
        <x:v>RFX2401C</x:v>
      </x:c>
      <x:c r="B101" s="2" t="n">
        <x:v>1000</x:v>
      </x:c>
      <x:c r="C101" s="28" t="n">
        <x:v>1.1294</x:v>
      </x:c>
      <x:c r="D101" s="2" t="str">
        <x:v>DigiKey</x:v>
      </x:c>
      <x:c r="E101" s="2" t="str">
        <x:v>USD</x:v>
      </x:c>
      <x:c r="F101" s="2" t="str">
        <x:v>2026-09-14</x:v>
      </x:c>
      <x:c r="G101" s="2" t="n">
        <x:v>77340</x:v>
      </x:c>
      <x:c r="H101" s="2" t="n">
        <x:v>19</x:v>
      </x:c>
      <x:c r="I101" s="2" t="str">
        <x:v>Supplier snapshot; availability not guaranteed</x:v>
      </x:c>
    </x:row>
    <x:row r="102" ht="28" customHeight="1">
      <x:c r="A102" s="2" t="str">
        <x:v>SKY13585-679LF</x:v>
      </x:c>
      <x:c r="B102" s="2" t="n">
        <x:v>1</x:v>
      </x:c>
      <x:c r="C102" s="28" t="n">
        <x:v>0.86</x:v>
      </x:c>
      <x:c r="D102" s="2" t="str">
        <x:v>DigiKey</x:v>
      </x:c>
      <x:c r="E102" s="2" t="str">
        <x:v>USD</x:v>
      </x:c>
      <x:c r="F102" s="2" t="str">
        <x:v>2026-09-14</x:v>
      </x:c>
      <x:c r="G102" s="2" t="n">
        <x:v>172620</x:v>
      </x:c>
      <x:c r="H102" s="2" t="n">
        <x:v>19</x:v>
      </x:c>
      <x:c r="I102" s="2" t="str">
        <x:v>Supplier snapshot; availability not guaranteed</x:v>
      </x:c>
    </x:row>
    <x:row r="103" ht="28" customHeight="1">
      <x:c r="A103" s="2" t="str">
        <x:v>SKY13585-679LF</x:v>
      </x:c>
      <x:c r="B103" s="2" t="n">
        <x:v>10</x:v>
      </x:c>
      <x:c r="C103" s="28" t="n">
        <x:v>0.615</x:v>
      </x:c>
      <x:c r="D103" s="2" t="str">
        <x:v>DigiKey</x:v>
      </x:c>
      <x:c r="E103" s="2" t="str">
        <x:v>USD</x:v>
      </x:c>
      <x:c r="F103" s="2" t="str">
        <x:v>2026-09-14</x:v>
      </x:c>
      <x:c r="G103" s="2" t="n">
        <x:v>172620</x:v>
      </x:c>
      <x:c r="H103" s="2" t="n">
        <x:v>19</x:v>
      </x:c>
      <x:c r="I103" s="2" t="str">
        <x:v>Supplier snapshot; availability not guaranteed</x:v>
      </x:c>
    </x:row>
    <x:row r="104" ht="28" customHeight="1">
      <x:c r="A104" s="2" t="str">
        <x:v>SKY13585-679LF</x:v>
      </x:c>
      <x:c r="B104" s="2" t="n">
        <x:v>25</x:v>
      </x:c>
      <x:c r="C104" s="28" t="n">
        <x:v>0.5532</x:v>
      </x:c>
      <x:c r="D104" s="2" t="str">
        <x:v>DigiKey</x:v>
      </x:c>
      <x:c r="E104" s="2" t="str">
        <x:v>USD</x:v>
      </x:c>
      <x:c r="F104" s="2" t="str">
        <x:v>2026-09-14</x:v>
      </x:c>
      <x:c r="G104" s="2" t="n">
        <x:v>172620</x:v>
      </x:c>
      <x:c r="H104" s="2" t="n">
        <x:v>19</x:v>
      </x:c>
      <x:c r="I104" s="2" t="str">
        <x:v>Supplier snapshot; availability not guaranteed</x:v>
      </x:c>
    </x:row>
    <x:row r="105" ht="28" customHeight="1">
      <x:c r="A105" s="2" t="str">
        <x:v>SKY13585-679LF</x:v>
      </x:c>
      <x:c r="B105" s="2" t="n">
        <x:v>100</x:v>
      </x:c>
      <x:c r="C105" s="28" t="n">
        <x:v>0.4853</x:v>
      </x:c>
      <x:c r="D105" s="2" t="str">
        <x:v>DigiKey</x:v>
      </x:c>
      <x:c r="E105" s="2" t="str">
        <x:v>USD</x:v>
      </x:c>
      <x:c r="F105" s="2" t="str">
        <x:v>2026-09-14</x:v>
      </x:c>
      <x:c r="G105" s="2" t="n">
        <x:v>172620</x:v>
      </x:c>
      <x:c r="H105" s="2" t="n">
        <x:v>19</x:v>
      </x:c>
      <x:c r="I105" s="2" t="str">
        <x:v>Supplier snapshot; availability not guaranteed</x:v>
      </x:c>
    </x:row>
    <x:row r="106" ht="28" customHeight="1">
      <x:c r="A106" s="2" t="str">
        <x:v>SKY13585-679LF</x:v>
      </x:c>
      <x:c r="B106" s="2" t="n">
        <x:v>250</x:v>
      </x:c>
      <x:c r="C106" s="28" t="n">
        <x:v>0.45288</x:v>
      </x:c>
      <x:c r="D106" s="2" t="str">
        <x:v>DigiKey</x:v>
      </x:c>
      <x:c r="E106" s="2" t="str">
        <x:v>USD</x:v>
      </x:c>
      <x:c r="F106" s="2" t="str">
        <x:v>2026-09-14</x:v>
      </x:c>
      <x:c r="G106" s="2" t="n">
        <x:v>172620</x:v>
      </x:c>
      <x:c r="H106" s="2" t="n">
        <x:v>19</x:v>
      </x:c>
      <x:c r="I106" s="2" t="str">
        <x:v>Supplier snapshot; availability not guaranteed</x:v>
      </x:c>
    </x:row>
    <x:row r="107" ht="28" customHeight="1">
      <x:c r="A107" s="2" t="str">
        <x:v>SKY13585-679LF</x:v>
      </x:c>
      <x:c r="B107" s="2" t="n">
        <x:v>500</x:v>
      </x:c>
      <x:c r="C107" s="28" t="n">
        <x:v>0.43334</x:v>
      </x:c>
      <x:c r="D107" s="2" t="str">
        <x:v>DigiKey</x:v>
      </x:c>
      <x:c r="E107" s="2" t="str">
        <x:v>USD</x:v>
      </x:c>
      <x:c r="F107" s="2" t="str">
        <x:v>2026-09-14</x:v>
      </x:c>
      <x:c r="G107" s="2" t="n">
        <x:v>172620</x:v>
      </x:c>
      <x:c r="H107" s="2" t="n">
        <x:v>19</x:v>
      </x:c>
      <x:c r="I107" s="2" t="str">
        <x:v>Supplier snapshot; availability not guaranteed</x:v>
      </x:c>
    </x:row>
    <x:row r="108" ht="28" customHeight="1">
      <x:c r="A108" s="2" t="str">
        <x:v>SKY13585-679LF</x:v>
      </x:c>
      <x:c r="B108" s="2" t="n">
        <x:v>1000</x:v>
      </x:c>
      <x:c r="C108" s="28" t="n">
        <x:v>0.42102</x:v>
      </x:c>
      <x:c r="D108" s="2" t="str">
        <x:v>DigiKey</x:v>
      </x:c>
      <x:c r="E108" s="2" t="str">
        <x:v>USD</x:v>
      </x:c>
      <x:c r="F108" s="2" t="str">
        <x:v>2026-09-14</x:v>
      </x:c>
      <x:c r="G108" s="2" t="n">
        <x:v>172620</x:v>
      </x:c>
      <x:c r="H108" s="2" t="n">
        <x:v>19</x:v>
      </x:c>
      <x:c r="I108" s="2" t="str">
        <x:v>Supplier snapshot; availability not guaranteed</x:v>
      </x:c>
    </x:row>
    <x:row r="109" ht="28" customHeight="1">
      <x:c r="A109" s="2" t="str">
        <x:v>TXB0104RGYR</x:v>
      </x:c>
      <x:c r="B109" s="2" t="n">
        <x:v>1</x:v>
      </x:c>
      <x:c r="C109" s="28" t="n">
        <x:v>1.15</x:v>
      </x:c>
      <x:c r="D109" s="2" t="str">
        <x:v>DigiKey</x:v>
      </x:c>
      <x:c r="E109" s="2" t="str">
        <x:v>USD</x:v>
      </x:c>
      <x:c r="F109" s="2" t="str">
        <x:v>2026-09-14</x:v>
      </x:c>
      <x:c r="G109" s="2" t="n">
        <x:v>6681</x:v>
      </x:c>
      <x:c r="H109" s="2" t="n">
        <x:v>16</x:v>
      </x:c>
      <x:c r="I109" s="2" t="str">
        <x:v>Supplier snapshot; availability not guaranteed</x:v>
      </x:c>
    </x:row>
    <x:row r="110" ht="28" customHeight="1">
      <x:c r="A110" s="2" t="str">
        <x:v>TXB0104RGYR</x:v>
      </x:c>
      <x:c r="B110" s="2" t="n">
        <x:v>10</x:v>
      </x:c>
      <x:c r="C110" s="28" t="n">
        <x:v>0.831</x:v>
      </x:c>
      <x:c r="D110" s="2" t="str">
        <x:v>DigiKey</x:v>
      </x:c>
      <x:c r="E110" s="2" t="str">
        <x:v>USD</x:v>
      </x:c>
      <x:c r="F110" s="2" t="str">
        <x:v>2026-09-14</x:v>
      </x:c>
      <x:c r="G110" s="2" t="n">
        <x:v>6681</x:v>
      </x:c>
      <x:c r="H110" s="2" t="n">
        <x:v>16</x:v>
      </x:c>
      <x:c r="I110" s="2" t="str">
        <x:v>Supplier snapshot; availability not guaranteed</x:v>
      </x:c>
    </x:row>
    <x:row r="111" ht="28" customHeight="1">
      <x:c r="A111" s="2" t="str">
        <x:v>TXB0104RGYR</x:v>
      </x:c>
      <x:c r="B111" s="2" t="n">
        <x:v>25</x:v>
      </x:c>
      <x:c r="C111" s="28" t="n">
        <x:v>0.7512</x:v>
      </x:c>
      <x:c r="D111" s="2" t="str">
        <x:v>DigiKey</x:v>
      </x:c>
      <x:c r="E111" s="2" t="str">
        <x:v>USD</x:v>
      </x:c>
      <x:c r="F111" s="2" t="str">
        <x:v>2026-09-14</x:v>
      </x:c>
      <x:c r="G111" s="2" t="n">
        <x:v>6681</x:v>
      </x:c>
      <x:c r="H111" s="2" t="n">
        <x:v>16</x:v>
      </x:c>
      <x:c r="I111" s="2" t="str">
        <x:v>Supplier snapshot; availability not guaranteed</x:v>
      </x:c>
    </x:row>
    <x:row r="112" ht="28" customHeight="1">
      <x:c r="A112" s="2" t="str">
        <x:v>TXB0104RGYR</x:v>
      </x:c>
      <x:c r="B112" s="2" t="n">
        <x:v>100</x:v>
      </x:c>
      <x:c r="C112" s="28" t="n">
        <x:v>0.6635</x:v>
      </x:c>
      <x:c r="D112" s="2" t="str">
        <x:v>DigiKey</x:v>
      </x:c>
      <x:c r="E112" s="2" t="str">
        <x:v>USD</x:v>
      </x:c>
      <x:c r="F112" s="2" t="str">
        <x:v>2026-09-14</x:v>
      </x:c>
      <x:c r="G112" s="2" t="n">
        <x:v>6681</x:v>
      </x:c>
      <x:c r="H112" s="2" t="n">
        <x:v>16</x:v>
      </x:c>
      <x:c r="I112" s="2" t="str">
        <x:v>Supplier snapshot; availability not guaranteed</x:v>
      </x:c>
    </x:row>
    <x:row r="113" ht="28" customHeight="1">
      <x:c r="A113" s="2" t="str">
        <x:v>TXB0104RGYR</x:v>
      </x:c>
      <x:c r="B113" s="2" t="n">
        <x:v>250</x:v>
      </x:c>
      <x:c r="C113" s="28" t="n">
        <x:v>0.62168</x:v>
      </x:c>
      <x:c r="D113" s="2" t="str">
        <x:v>DigiKey</x:v>
      </x:c>
      <x:c r="E113" s="2" t="str">
        <x:v>USD</x:v>
      </x:c>
      <x:c r="F113" s="2" t="str">
        <x:v>2026-09-14</x:v>
      </x:c>
      <x:c r="G113" s="2" t="n">
        <x:v>6681</x:v>
      </x:c>
      <x:c r="H113" s="2" t="n">
        <x:v>16</x:v>
      </x:c>
      <x:c r="I113" s="2" t="str">
        <x:v>Supplier snapshot; availability not guaranteed</x:v>
      </x:c>
    </x:row>
    <x:row r="114" ht="28" customHeight="1">
      <x:c r="A114" s="2" t="str">
        <x:v>TXB0104RGYR</x:v>
      </x:c>
      <x:c r="B114" s="2" t="n">
        <x:v>500</x:v>
      </x:c>
      <x:c r="C114" s="28" t="n">
        <x:v>0.60128</x:v>
      </x:c>
      <x:c r="D114" s="2" t="str">
        <x:v>DigiKey</x:v>
      </x:c>
      <x:c r="E114" s="2" t="str">
        <x:v>USD</x:v>
      </x:c>
      <x:c r="F114" s="2" t="str">
        <x:v>2026-09-14</x:v>
      </x:c>
      <x:c r="G114" s="2" t="n">
        <x:v>6681</x:v>
      </x:c>
      <x:c r="H114" s="2" t="n">
        <x:v>16</x:v>
      </x:c>
      <x:c r="I114" s="2" t="str">
        <x:v>Supplier snapshot; availability not guaranteed</x:v>
      </x:c>
    </x:row>
    <x:row r="115" ht="28" customHeight="1">
      <x:c r="A115" s="2" t="str">
        <x:v>THVD1551DGK</x:v>
      </x:c>
      <x:c r="B115" s="2" t="n">
        <x:v>1</x:v>
      </x:c>
      <x:c r="C115" s="28" t="n">
        <x:v>3.38</x:v>
      </x:c>
      <x:c r="D115" s="2" t="str">
        <x:v>DigiKey</x:v>
      </x:c>
      <x:c r="E115" s="2" t="str">
        <x:v>USD</x:v>
      </x:c>
      <x:c r="F115" s="2" t="str">
        <x:v>2026-09-14</x:v>
      </x:c>
      <x:c r="G115" s="2" t="n">
        <x:v>570</x:v>
      </x:c>
      <x:c r="H115" s="2" t="n">
        <x:v>12</x:v>
      </x:c>
      <x:c r="I115" s="2" t="str">
        <x:v>Supplier snapshot; availability not guaranteed</x:v>
      </x:c>
    </x:row>
    <x:row r="116" ht="28" customHeight="1">
      <x:c r="A116" s="2" t="str">
        <x:v>THVD1551DGK</x:v>
      </x:c>
      <x:c r="B116" s="2" t="n">
        <x:v>10</x:v>
      </x:c>
      <x:c r="C116" s="28" t="n">
        <x:v>2.537</x:v>
      </x:c>
      <x:c r="D116" s="2" t="str">
        <x:v>DigiKey</x:v>
      </x:c>
      <x:c r="E116" s="2" t="str">
        <x:v>USD</x:v>
      </x:c>
      <x:c r="F116" s="2" t="str">
        <x:v>2026-09-14</x:v>
      </x:c>
      <x:c r="G116" s="2" t="n">
        <x:v>570</x:v>
      </x:c>
      <x:c r="H116" s="2" t="n">
        <x:v>12</x:v>
      </x:c>
      <x:c r="I116" s="2" t="str">
        <x:v>Supplier snapshot; availability not guaranteed</x:v>
      </x:c>
    </x:row>
    <x:row r="117" ht="28" customHeight="1">
      <x:c r="A117" s="2" t="str">
        <x:v>THVD1551DGK</x:v>
      </x:c>
      <x:c r="B117" s="2" t="n">
        <x:v>80</x:v>
      </x:c>
      <x:c r="C117" s="28" t="n">
        <x:v>2.12638</x:v>
      </x:c>
      <x:c r="D117" s="2" t="str">
        <x:v>DigiKey</x:v>
      </x:c>
      <x:c r="E117" s="2" t="str">
        <x:v>USD</x:v>
      </x:c>
      <x:c r="F117" s="2" t="str">
        <x:v>2026-09-14</x:v>
      </x:c>
      <x:c r="G117" s="2" t="n">
        <x:v>570</x:v>
      </x:c>
      <x:c r="H117" s="2" t="n">
        <x:v>12</x:v>
      </x:c>
      <x:c r="I117" s="2" t="str">
        <x:v>Supplier snapshot; availability not guaranteed</x:v>
      </x:c>
    </x:row>
    <x:row r="118" ht="28" customHeight="1">
      <x:c r="A118" s="2" t="str">
        <x:v>THVD1551DGK</x:v>
      </x:c>
      <x:c r="B118" s="2" t="n">
        <x:v>160</x:v>
      </x:c>
      <x:c r="C118" s="28" t="n">
        <x:v>2.03469</x:v>
      </x:c>
      <x:c r="D118" s="2" t="str">
        <x:v>DigiKey</x:v>
      </x:c>
      <x:c r="E118" s="2" t="str">
        <x:v>USD</x:v>
      </x:c>
      <x:c r="F118" s="2" t="str">
        <x:v>2026-09-14</x:v>
      </x:c>
      <x:c r="G118" s="2" t="n">
        <x:v>570</x:v>
      </x:c>
      <x:c r="H118" s="2" t="n">
        <x:v>12</x:v>
      </x:c>
      <x:c r="I118" s="2" t="str">
        <x:v>Supplier snapshot; availability not guaranteed</x:v>
      </x:c>
    </x:row>
    <x:row r="119" ht="28" customHeight="1">
      <x:c r="A119" s="2" t="str">
        <x:v>THVD1551DGK</x:v>
      </x:c>
      <x:c r="B119" s="2" t="n">
        <x:v>320</x:v>
      </x:c>
      <x:c r="C119" s="28" t="n">
        <x:v>1.95922</x:v>
      </x:c>
      <x:c r="D119" s="2" t="str">
        <x:v>DigiKey</x:v>
      </x:c>
      <x:c r="E119" s="2" t="str">
        <x:v>USD</x:v>
      </x:c>
      <x:c r="F119" s="2" t="str">
        <x:v>2026-09-14</x:v>
      </x:c>
      <x:c r="G119" s="2" t="n">
        <x:v>570</x:v>
      </x:c>
      <x:c r="H119" s="2" t="n">
        <x:v>12</x:v>
      </x:c>
      <x:c r="I119" s="2" t="str">
        <x:v>Supplier snapshot; availability not guaranteed</x:v>
      </x:c>
    </x:row>
    <x:row r="120" ht="28" customHeight="1">
      <x:c r="A120" s="2" t="str">
        <x:v>THVD1551DGK</x:v>
      </x:c>
      <x:c r="B120" s="2" t="n">
        <x:v>560</x:v>
      </x:c>
      <x:c r="C120" s="28" t="n">
        <x:v>1.90818</x:v>
      </x:c>
      <x:c r="D120" s="2" t="str">
        <x:v>DigiKey</x:v>
      </x:c>
      <x:c r="E120" s="2" t="str">
        <x:v>USD</x:v>
      </x:c>
      <x:c r="F120" s="2" t="str">
        <x:v>2026-09-14</x:v>
      </x:c>
      <x:c r="G120" s="2" t="n">
        <x:v>570</x:v>
      </x:c>
      <x:c r="H120" s="2" t="n">
        <x:v>12</x:v>
      </x:c>
      <x:c r="I120" s="2" t="str">
        <x:v>Supplier snapshot; availability not guaranteed</x:v>
      </x:c>
    </x:row>
    <x:row r="121" ht="28" customHeight="1">
      <x:c r="A121" s="2" t="str">
        <x:v>THVD1551DGK</x:v>
      </x:c>
      <x:c r="B121" s="2" t="n">
        <x:v>1040</x:v>
      </x:c>
      <x:c r="C121" s="28" t="n">
        <x:v>1.86029</x:v>
      </x:c>
      <x:c r="D121" s="2" t="str">
        <x:v>DigiKey</x:v>
      </x:c>
      <x:c r="E121" s="2" t="str">
        <x:v>USD</x:v>
      </x:c>
      <x:c r="F121" s="2" t="str">
        <x:v>2026-09-14</x:v>
      </x:c>
      <x:c r="G121" s="2" t="n">
        <x:v>570</x:v>
      </x:c>
      <x:c r="H121" s="2" t="n">
        <x:v>12</x:v>
      </x:c>
      <x:c r="I121" s="2" t="str">
        <x:v>Supplier snapshot; availability not guaranteed</x:v>
      </x:c>
    </x:row>
    <x:row r="122" ht="28" customHeight="1">
      <x:c r="A122" s="2"/>
      <x:c r="B122" s="2"/>
      <x:c r="C122" s="2"/>
      <x:c r="D122" s="2"/>
      <x:c r="E122" s="2"/>
      <x:c r="F122" s="2"/>
      <x:c r="G122" s="2"/>
      <x:c r="H122" s="2"/>
      <x:c r="I122" s="2"/>
    </x:row>
  </x:sheetData>
  <x:pageMargins left="0.7" right="0.7" top="0.75" bottom="0.75" header="0.3" footer="0.3"/>
</x: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8" topLeftCell="A9" activePane="bottomLeft" state="frozen"/>
    </sheetView>
  </sheetViews>
  <sheetFormatPr defaultRowHeight="15"/>
  <cols>
    <col min="1" max="1" width="28" hidden="0" customWidth="1"/>
    <col min="2" max="2" width="34" hidden="0" customWidth="1"/>
    <col min="3" max="3" width="15" hidden="0" customWidth="1"/>
    <col min="4" max="4" width="15" hidden="0" customWidth="1"/>
    <col min="5" max="5" width="86" hidden="0" customWidth="1"/>
    <col min="6" max="6" width="22" hidden="0" customWidth="1"/>
    <col min="7" max="7" width="25" hidden="0" customWidth="1"/>
    <col min="8" max="8" width="16" hidden="0" customWidth="1"/>
  </cols>
  <sheetData>
    <row r="1" ht="28" customHeight="1">
      <c r="A1" s="2"/>
      <c r="B1" s="2"/>
      <c r="C1" s="2"/>
      <c r="D1" s="2"/>
      <c r="E1" s="2"/>
      <c r="F1" s="2"/>
      <c r="G1" s="2"/>
      <c r="H1" s="2"/>
    </row>
    <row r="2" ht="28" customHeight="1">
      <c r="A2" s="3" t="str">
        <v>Osiris supply and lifecycle review</v>
      </c>
      <c r="B2" s="2"/>
      <c r="C2" s="2"/>
      <c r="D2" s="2"/>
      <c r="E2" s="2"/>
      <c r="F2" s="2"/>
      <c r="G2" s="2"/>
      <c r="H2" s="2"/>
    </row>
    <row r="3" ht="28" customHeight="1">
      <c r="A3" s="4"/>
      <c r="B3" s="4"/>
      <c r="C3" s="4"/>
      <c r="D3" s="4"/>
      <c r="E3" s="4"/>
      <c r="F3" s="4"/>
      <c r="G3" s="4"/>
      <c r="H3" s="4"/>
    </row>
    <row r="4" ht="28" customHeight="1">
      <c r="A4" s="2" t="str">
        <v>Check date: 14 September 2026. Risks reflect listed stock, lead time, lifecycle and design dependence; not a prediction of stock-outs.</v>
      </c>
      <c r="B4" s="2"/>
      <c r="C4" s="2"/>
      <c r="D4" s="2"/>
      <c r="E4" s="2"/>
      <c r="F4" s="2"/>
      <c r="G4" s="2"/>
      <c r="H4" s="2"/>
    </row>
    <row r="5" ht="28" customHeight="1">
      <c r="A5" s="2" t="str">
        <v>Reserve only confirmed project needs plus an agreed buffer. NRND / last-time-buy parts need a redesign decision before speculative buying.</v>
      </c>
      <c r="B5" s="2"/>
      <c r="C5" s="2"/>
      <c r="D5" s="2"/>
      <c r="E5" s="2"/>
      <c r="F5" s="2"/>
      <c r="G5" s="2"/>
      <c r="H5" s="2"/>
    </row>
    <row r="6" ht="28" customHeight="1">
      <c r="A6" s="2" t="str">
        <v>No verified price-increase notice was found for these exact parts. Manufacturer source takes precedence on lifecycle; reconfirm supplier delivery.</v>
      </c>
      <c r="B6" s="2"/>
      <c r="C6" s="2"/>
      <c r="D6" s="2"/>
      <c r="E6" s="2"/>
      <c r="F6" s="2"/>
      <c r="G6" s="2"/>
      <c r="H6" s="2"/>
    </row>
    <row r="7" ht="28" customHeight="1">
      <c r="A7" s="2"/>
      <c r="B7" s="2"/>
      <c r="C7" s="2"/>
      <c r="D7" s="2"/>
      <c r="E7" s="2"/>
      <c r="F7" s="2"/>
      <c r="G7" s="2"/>
      <c r="H7" s="2"/>
    </row>
    <row r="8" ht="42" customHeight="1">
      <c r="A8" s="27" t="str">
        <v>Part</v>
      </c>
      <c r="B8" s="27" t="str">
        <v>Risk</v>
      </c>
      <c r="C8" s="27" t="str">
        <v>Listed stock</v>
      </c>
      <c r="D8" s="27" t="str">
        <v>Lead weeks</v>
      </c>
      <c r="E8" s="27" t="str">
        <v>Action</v>
      </c>
      <c r="F8" s="27" t="str">
        <v>Supplier evidence</v>
      </c>
      <c r="G8" s="27" t="str">
        <v>Lifecycle evidence</v>
      </c>
      <c r="H8" s="27" t="str">
        <v>Checked</v>
      </c>
    </row>
    <row r="9" ht="48" customHeight="1">
      <c r="A9" s="2" t="str">
        <v>STM32H743IIK6</v>
      </c>
      <c r="B9" s="15" t="str">
        <v>High - no listed stock</v>
      </c>
      <c r="C9" s="15" t="n">
        <v>0</v>
      </c>
      <c r="D9" s="15" t="n">
        <v>52</v>
      </c>
      <c r="E9" s="15" t="str">
        <v>Secure a dated quote for confirmed builds; BGA version, not IIT6 LQFP.</v>
      </c>
      <c r="F9" s="14" t="str">
        <v>Product page</v>
      </c>
      <c r="G9" s="2"/>
      <c r="H9" s="2" t="str">
        <v>2026-09-14</v>
      </c>
    </row>
    <row r="10" ht="48" customHeight="1">
      <c r="A10" s="2" t="str">
        <v>STM32F446RET6</v>
      </c>
      <c r="B10" s="15" t="str">
        <v>High - no listed stock</v>
      </c>
      <c r="C10" s="15" t="n">
        <v>0</v>
      </c>
      <c r="D10" s="15"/>
      <c r="E10" s="15" t="str">
        <v>Obtain allocation/confirmed delivery. Listed replenishment dates are estimates.</v>
      </c>
      <c r="F10" s="14" t="str">
        <v>Product page</v>
      </c>
      <c r="G10" s="2"/>
      <c r="H10" s="2" t="str">
        <v>2026-09-14</v>
      </c>
    </row>
    <row r="11" ht="48" customHeight="1">
      <c r="A11" s="2" t="str">
        <v>BMI088</v>
      </c>
      <c r="B11" s="15" t="str">
        <v>High - no listed stock</v>
      </c>
      <c r="C11" s="15" t="n">
        <v>0</v>
      </c>
      <c r="D11" s="15"/>
      <c r="E11" s="15" t="str">
        <v>No restock estimate listed; quote multiple authorized channels before design lock.</v>
      </c>
      <c r="F11" s="14" t="str">
        <v>Product page</v>
      </c>
      <c r="G11" s="2"/>
      <c r="H11" s="2" t="str">
        <v>2026-09-14</v>
      </c>
    </row>
    <row r="12" ht="48" customHeight="1">
      <c r="A12" s="2" t="str">
        <v>ICM-42688-P</v>
      </c>
      <c r="B12" s="15" t="str">
        <v>High - no listed stock</v>
      </c>
      <c r="C12" s="15" t="n">
        <v>0</v>
      </c>
      <c r="D12" s="15" t="n">
        <v>45</v>
      </c>
      <c r="E12" s="15" t="str">
        <v>Listed incoming stock August 2027; confirm delivery for retained Rev B sensor.</v>
      </c>
      <c r="F12" s="14" t="str">
        <v>Product page</v>
      </c>
      <c r="G12" s="2"/>
      <c r="H12" s="2" t="str">
        <v>2026-09-14</v>
      </c>
    </row>
    <row r="13" ht="48" customHeight="1">
      <c r="A13" s="2" t="str">
        <v>LPS22HBTR</v>
      </c>
      <c r="B13" s="15" t="str">
        <v>High - no listed stock</v>
      </c>
      <c r="C13" s="15" t="n">
        <v>0</v>
      </c>
      <c r="D13" s="15" t="n">
        <v>24</v>
      </c>
      <c r="E13" s="15" t="str">
        <v>Listed incoming date January 2028 differs from standard lead time; request commitment.</v>
      </c>
      <c r="F13" s="14" t="str">
        <v>Product page</v>
      </c>
      <c r="G13" s="2"/>
      <c r="H13" s="2" t="str">
        <v>2026-09-14</v>
      </c>
    </row>
    <row r="14" ht="48" customHeight="1">
      <c r="A14" s="2" t="str">
        <v>LIS2MDLTR</v>
      </c>
      <c r="B14" s="15" t="str">
        <v>High - no listed stock</v>
      </c>
      <c r="C14" s="15" t="n">
        <v>0</v>
      </c>
      <c r="D14" s="15"/>
      <c r="E14" s="15" t="str">
        <v>Restock estimate unavailable; confirm before retaining in Rev B.</v>
      </c>
      <c r="F14" s="14" t="str">
        <v>Product page</v>
      </c>
      <c r="G14" s="2"/>
      <c r="H14" s="2" t="str">
        <v>2026-09-14</v>
      </c>
    </row>
    <row r="15" ht="48" customHeight="1">
      <c r="A15" s="2" t="str">
        <v>TESEO-LIV3R</v>
      </c>
      <c r="B15" s="15" t="str">
        <v>High - last-time-buy / NRND</v>
      </c>
      <c r="C15" s="15"/>
      <c r="D15" s="15"/>
      <c r="E15" s="15" t="str">
        <v>DigiKey lists LTB 2026-11-14; ST NRND. Prefer redesign decision for new Rev B; buy only supported legacy need.</v>
      </c>
      <c r="F15" s="14" t="str">
        <v>Product page</v>
      </c>
      <c r="G15" s="14" t="str">
        <v>Lifecycle source</v>
      </c>
      <c r="H15" s="2" t="str">
        <v>2026-09-14</v>
      </c>
    </row>
    <row r="16" ht="48" customHeight="1">
      <c r="A16" s="2" t="str">
        <v>HHM1595A1</v>
      </c>
      <c r="B16" s="15" t="str">
        <v>High - NRND lifecycle</v>
      </c>
      <c r="C16" s="15" t="n">
        <v>43990</v>
      </c>
      <c r="D16" s="15"/>
      <c r="E16" s="15" t="str">
        <v>TDK Production (NRND), despite listed stock. Review RF redesign or bounded legacy reserve.</v>
      </c>
      <c r="F16" s="14" t="str">
        <v>Product page</v>
      </c>
      <c r="G16" s="14" t="str">
        <v>Lifecycle source</v>
      </c>
      <c r="H16" s="2" t="str">
        <v>2026-09-14</v>
      </c>
    </row>
    <row r="17" ht="48" customHeight="1">
      <c r="A17" s="2" t="str">
        <v>DW1000-I-TR13</v>
      </c>
      <c r="B17" s="15" t="str">
        <v>Medium - limited channel stock</v>
      </c>
      <c r="C17" s="15" t="n">
        <v>42</v>
      </c>
      <c r="D17" s="15"/>
      <c r="E17" s="15" t="str">
        <v>Qorvo longevity lists 2028; not an EOL notice. Secure confirmed build need if retained.</v>
      </c>
      <c r="F17" s="14" t="str">
        <v>Product page</v>
      </c>
      <c r="G17" s="14" t="str">
        <v>Lifecycle source</v>
      </c>
      <c r="H17" s="2" t="str">
        <v>2026-09-14</v>
      </c>
    </row>
    <row r="18" ht="48" customHeight="1">
      <c r="A18" s="2" t="str">
        <v>SX1280IMLTRT</v>
      </c>
      <c r="B18" s="15" t="str">
        <v>Routine - stock listed</v>
      </c>
      <c r="C18" s="15" t="n">
        <v>12787</v>
      </c>
      <c r="D18" s="15" t="n">
        <v>16</v>
      </c>
      <c r="E18" s="15" t="str">
        <v>Specialized RF part; buy project batch, no present shortage evidenced at this source.</v>
      </c>
      <c r="F18" s="14" t="str">
        <v>Product page</v>
      </c>
      <c r="G18" s="2"/>
      <c r="H18" s="2" t="str">
        <v>2026-09-14</v>
      </c>
    </row>
    <row r="19" ht="48" customHeight="1">
      <c r="A19" s="2" t="str">
        <v>ST33HTPH2X32AHE4</v>
      </c>
      <c r="B19" s="15" t="str">
        <v>Medium - long replenishment</v>
      </c>
      <c r="C19" s="15" t="n">
        <v>3398</v>
      </c>
      <c r="D19" s="15" t="n">
        <v>30</v>
      </c>
      <c r="E19" s="15" t="str">
        <v>Stock listed; 30-week manufacturer lead time warrants advance planning if retained.</v>
      </c>
      <c r="F19" s="14" t="str">
        <v>Product page</v>
      </c>
      <c r="G19" s="2"/>
      <c r="H19" s="2" t="str">
        <v>2026-09-14</v>
      </c>
    </row>
    <row r="20" ht="48" customHeight="1">
      <c r="A20" s="2" t="str">
        <v>LAN7800/Y9X</v>
      </c>
      <c r="B20" s="15" t="str">
        <v>Medium - specialized interface</v>
      </c>
      <c r="C20" s="15" t="n">
        <v>893</v>
      </c>
      <c r="D20" s="15" t="n">
        <v>20</v>
      </c>
      <c r="E20" s="15" t="str">
        <v>Commercial-temperature source code; review grade before ordering for flight hardware.</v>
      </c>
      <c r="F20" s="14" t="str">
        <v>Product page</v>
      </c>
      <c r="G20" s="2"/>
      <c r="H20" s="2" t="str">
        <v>2026-09-14</v>
      </c>
    </row>
    <row r="21" ht="48" customHeight="1">
      <c r="A21" s="2" t="str">
        <v>USB5744-I/2G</v>
      </c>
      <c r="B21" s="15" t="str">
        <v>Routine - stock listed</v>
      </c>
      <c r="C21" s="15" t="n">
        <v>918</v>
      </c>
      <c r="D21" s="15" t="n">
        <v>7</v>
      </c>
      <c r="E21" s="15" t="str">
        <v>Exact /2G code is active; do not confuse with obsolete /2GX01. Tray handling required.</v>
      </c>
      <c r="F21" s="14" t="str">
        <v>Product page</v>
      </c>
      <c r="G21" s="2"/>
      <c r="H21" s="2" t="str">
        <v>2026-09-14</v>
      </c>
    </row>
    <row r="22" ht="48" customHeight="1">
      <c r="A22" s="2" t="str">
        <v>FM25V01A-GTR</v>
      </c>
      <c r="B22" s="15" t="str">
        <v>Routine - stock listed</v>
      </c>
      <c r="C22" s="15" t="n">
        <v>13917</v>
      </c>
      <c r="D22" s="15"/>
      <c r="E22" s="15" t="str">
        <v>Specialized FRAM; keep a small project reserve if retained, not a speculative full reel.</v>
      </c>
      <c r="F22" s="14" t="str">
        <v>Product page</v>
      </c>
      <c r="G22" s="2"/>
      <c r="H22" s="2" t="str">
        <v>2026-09-14</v>
      </c>
    </row>
    <row r="23" ht="48" customHeight="1">
      <c r="A23" s="2" t="str">
        <v>RFX2401C</v>
      </c>
      <c r="B23" s="15" t="str">
        <v>Routine - stock listed</v>
      </c>
      <c r="C23" s="15" t="n">
        <v>77340</v>
      </c>
      <c r="D23" s="15" t="n">
        <v>19</v>
      </c>
      <c r="E23" s="15" t="str">
        <v>No present shortage evidenced at this source; buy normal batch.</v>
      </c>
      <c r="F23" s="14" t="str">
        <v>Product page</v>
      </c>
      <c r="G23" s="2"/>
      <c r="H23" s="2" t="str">
        <v>2026-09-14</v>
      </c>
    </row>
    <row r="24" ht="48" customHeight="1">
      <c r="A24" s="2" t="str">
        <v>SKY13585-679LF</v>
      </c>
      <c r="B24" s="15" t="str">
        <v>Routine - stock listed</v>
      </c>
      <c r="C24" s="15" t="n">
        <v>172620</v>
      </c>
      <c r="D24" s="15" t="n">
        <v>19</v>
      </c>
      <c r="E24" s="15" t="str">
        <v>No present shortage evidenced at this source; buy normal batch.</v>
      </c>
      <c r="F24" s="14" t="str">
        <v>Product page</v>
      </c>
      <c r="G24" s="2"/>
      <c r="H24" s="2" t="str">
        <v>2026-09-14</v>
      </c>
    </row>
    <row r="25" ht="48" customHeight="1">
      <c r="A25" s="2" t="str">
        <v>TXB0104RGYR</v>
      </c>
      <c r="B25" s="15" t="str">
        <v>Routine - stock listed</v>
      </c>
      <c r="C25" s="15" t="n">
        <v>6681</v>
      </c>
      <c r="D25" s="15" t="n">
        <v>16</v>
      </c>
      <c r="E25" s="15" t="str">
        <v>Six per reference board; count all six when reserving stock.</v>
      </c>
      <c r="F25" s="14" t="str">
        <v>Product page</v>
      </c>
      <c r="G25" s="2"/>
      <c r="H25" s="2" t="str">
        <v>2026-09-14</v>
      </c>
    </row>
    <row r="26" ht="48" customHeight="1">
      <c r="A26" s="2" t="str">
        <v>THVD1551DGK</v>
      </c>
      <c r="B26" s="15" t="str">
        <v>Medium - limited channel stock</v>
      </c>
      <c r="C26" s="15" t="n">
        <v>570</v>
      </c>
      <c r="D26" s="15" t="n">
        <v>12</v>
      </c>
      <c r="E26" s="15" t="str">
        <v>Two per board; tube order code. Confirm feeder/tray or reel alternative suffix.</v>
      </c>
      <c r="F26" s="14" t="str">
        <v>Product page</v>
      </c>
      <c r="G26" s="2"/>
      <c r="H26" s="2" t="str">
        <v>2026-09-14</v>
      </c>
    </row>
    <row r="27" ht="28" customHeight="1">
      <c r="A27" s="2"/>
      <c r="B27" s="2"/>
      <c r="C27" s="2"/>
      <c r="D27" s="2"/>
      <c r="E27" s="2"/>
      <c r="F27" s="2"/>
      <c r="G27" s="2"/>
      <c r="H27" s="2"/>
    </row>
    <row r="28" ht="28" customHeight="1">
      <c r="A28" s="2"/>
      <c r="B28" s="2"/>
      <c r="C28" s="2"/>
      <c r="D28" s="2"/>
      <c r="E28" s="2"/>
      <c r="F28" s="2"/>
      <c r="G28" s="2"/>
      <c r="H28" s="2"/>
    </row>
  </sheetData>
  <hyperlinks>
    <hyperlink ref="F9" r:id="procurementLink0"/>
    <hyperlink ref="F10" r:id="procurementLink1"/>
    <hyperlink ref="F11" r:id="procurementLink2"/>
    <hyperlink ref="F12" r:id="procurementLink3"/>
    <hyperlink ref="F13" r:id="procurementLink4"/>
    <hyperlink ref="F14" r:id="procurementLink5"/>
    <hyperlink ref="F15" r:id="procurementLink6"/>
    <hyperlink ref="G15" r:id="procurementLink7"/>
    <hyperlink ref="F16" r:id="procurementLink8"/>
    <hyperlink ref="G16" r:id="procurementLink9"/>
    <hyperlink ref="F17" r:id="procurementLink10"/>
    <hyperlink ref="G17" r:id="procurementLink11"/>
    <hyperlink ref="F18" r:id="procurementLink12"/>
    <hyperlink ref="F19" r:id="procurementLink13"/>
    <hyperlink ref="F20" r:id="procurementLink14"/>
    <hyperlink ref="F21" r:id="procurementLink15"/>
    <hyperlink ref="F22" r:id="procurementLink16"/>
    <hyperlink ref="F23" r:id="procurementLink17"/>
    <hyperlink ref="F24" r:id="procurementLink18"/>
    <hyperlink ref="F25" r:id="procurementLink19"/>
    <hyperlink ref="F26" r:id="procurementLink2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7" topLeftCell="A8" activePane="bottomLeft" state="frozen"/>
    </sheetView>
  </sheetViews>
  <sheetFormatPr defaultRowHeight="15"/>
  <cols>
    <col min="1" max="1" width="110" hidden="0" customWidth="1"/>
    <col min="2" max="2" width="15" hidden="0" customWidth="1"/>
    <col min="3" max="3" width="55" hidden="0" customWidth="1"/>
    <col min="4" max="4" width="47" hidden="0" customWidth="1"/>
    <col min="5" max="5" width="18" hidden="0" customWidth="1"/>
  </cols>
  <sheetData>
    <row r="1" ht="28" customHeight="1">
      <c r="A1" s="2"/>
      <c r="B1" s="2"/>
      <c r="C1" s="2"/>
      <c r="D1" s="2"/>
      <c r="E1" s="2"/>
    </row>
    <row r="2" ht="28" customHeight="1">
      <c r="A2" s="3" t="str">
        <v>Link validation results</v>
      </c>
      <c r="B2" s="2"/>
      <c r="C2" s="2"/>
      <c r="D2" s="2"/>
      <c r="E2" s="2"/>
    </row>
    <row r="3" ht="28" customHeight="1">
      <c r="A3" s="4"/>
      <c r="B3" s="4"/>
      <c r="C3" s="4"/>
      <c r="D3" s="4"/>
      <c r="E3" s="4"/>
    </row>
    <row r="4" ht="28" customHeight="1">
      <c r="A4" s="2" t="str">
        <v>Every existing and new URL was requested. HTTP 403/429 and timeouts require a normal-browser check; do not claim they passed.</v>
      </c>
      <c r="B4" s="2"/>
      <c r="C4" s="2"/>
      <c r="D4" s="2"/>
      <c r="E4" s="2"/>
    </row>
    <row r="5" ht="28" customHeight="1">
      <c r="A5" s="2" t="str">
        <v>Supplier product evidence listed on Supply risks was readable through web research. Search-page links still require exact-part selection.</v>
      </c>
      <c r="B5" s="2"/>
      <c r="C5" s="2"/>
      <c r="D5" s="2"/>
      <c r="E5" s="2"/>
    </row>
    <row r="6" ht="28" customHeight="1">
      <c r="A6" s="2"/>
      <c r="B6" s="2"/>
      <c r="C6" s="2"/>
      <c r="D6" s="2"/>
      <c r="E6" s="2"/>
    </row>
    <row r="7" ht="42" customHeight="1">
      <c r="A7" s="27" t="str">
        <v>URL</v>
      </c>
      <c r="B7" s="27" t="str">
        <v>HTTP result</v>
      </c>
      <c r="C7" s="27" t="str">
        <v>Automated result</v>
      </c>
      <c r="D7" s="27" t="str">
        <v>Research verification</v>
      </c>
      <c r="E7" s="27" t="str">
        <v>Checked</v>
      </c>
    </row>
    <row r="8" ht="48" customHeight="1">
      <c r="A8" s="15" t="str">
        <v>https://product.tdk.com/en/search/rf/rf/balun/info?part_no=HHM1595A1</v>
      </c>
      <c r="B8" s="2" t="n">
        <v>403</v>
      </c>
      <c r="C8" s="2" t="str">
        <v>Blocked automated check</v>
      </c>
      <c r="D8" s="2" t="str">
        <v>Product/lifecycle content read</v>
      </c>
      <c r="E8" s="2" t="str">
        <v>2026-09-14</v>
      </c>
    </row>
    <row r="9" ht="48" customHeight="1">
      <c r="A9" s="15" t="str">
        <v>https://store.qorvo.com/products/detail/dw1000itr13-qorvo/681945/</v>
      </c>
      <c r="B9" s="2" t="n">
        <v>200</v>
      </c>
      <c r="C9" s="2" t="str">
        <v>HTTP reachable; product match not guaranteed</v>
      </c>
      <c r="D9" s="2" t="str">
        <v>Product/lifecycle content read</v>
      </c>
      <c r="E9" s="2" t="str">
        <v>2026-09-14</v>
      </c>
    </row>
    <row r="10" ht="48" customHeight="1">
      <c r="A10" s="15" t="str">
        <v>https://www.digikey.com/en/products/detail/bosch-sensortec/BMI088/8634936</v>
      </c>
      <c r="B10" s="2" t="n">
        <v>403</v>
      </c>
      <c r="C10" s="2" t="str">
        <v>Blocked automated check</v>
      </c>
      <c r="D10" s="2" t="str">
        <v>Product/lifecycle content read</v>
      </c>
      <c r="E10" s="2" t="str">
        <v>2026-09-14</v>
      </c>
    </row>
    <row r="11" ht="48" customHeight="1">
      <c r="A11" s="15" t="str">
        <v>https://www.digikey.com/en/products/detail/infineon-technologies/FM25V01A-GTR/5210534</v>
      </c>
      <c r="B11" s="2" t="n">
        <v>403</v>
      </c>
      <c r="C11" s="2" t="str">
        <v>Blocked automated check</v>
      </c>
      <c r="D11" s="2" t="str">
        <v>Product/lifecycle content read</v>
      </c>
      <c r="E11" s="2" t="str">
        <v>2026-09-14</v>
      </c>
    </row>
    <row r="12" ht="48" customHeight="1">
      <c r="A12" s="15" t="str">
        <v>https://www.digikey.com/en/products/detail/microchip-technology/LAN7800-Y9X/6593015</v>
      </c>
      <c r="B12" s="2" t="n">
        <v>403</v>
      </c>
      <c r="C12" s="2" t="str">
        <v>Blocked automated check</v>
      </c>
      <c r="D12" s="2" t="str">
        <v>Product/lifecycle content read</v>
      </c>
      <c r="E12" s="2" t="str">
        <v>2026-09-14</v>
      </c>
    </row>
    <row r="13" ht="48" customHeight="1">
      <c r="A13" s="15" t="str">
        <v>https://www.digikey.com/en/products/detail/microchip-technology/USB5744-I-2G/5323586</v>
      </c>
      <c r="B13" s="2" t="n">
        <v>403</v>
      </c>
      <c r="C13" s="2" t="str">
        <v>Blocked automated check</v>
      </c>
      <c r="D13" s="2" t="str">
        <v>Product/lifecycle content read</v>
      </c>
      <c r="E13" s="2" t="str">
        <v>2026-09-14</v>
      </c>
    </row>
    <row r="14" ht="48" customHeight="1">
      <c r="A14" s="15" t="str">
        <v>https://www.digikey.com/en/products/detail/semtech-corporation/SX1280IMLTRT/7203797</v>
      </c>
      <c r="B14" s="2" t="n">
        <v>403</v>
      </c>
      <c r="C14" s="2" t="str">
        <v>Blocked automated check</v>
      </c>
      <c r="D14" s="2" t="str">
        <v>Product/lifecycle content read</v>
      </c>
      <c r="E14" s="2" t="str">
        <v>2026-09-14</v>
      </c>
    </row>
    <row r="15" ht="48" customHeight="1">
      <c r="A15" s="15" t="str">
        <v>https://www.digikey.com/en/products/detail/skyworks-solutions-inc/RFX2401C/6172935</v>
      </c>
      <c r="B15" s="2" t="n">
        <v>403</v>
      </c>
      <c r="C15" s="2" t="str">
        <v>Blocked automated check</v>
      </c>
      <c r="D15" s="2" t="str">
        <v>Product/lifecycle content read</v>
      </c>
      <c r="E15" s="2" t="str">
        <v>2026-09-14</v>
      </c>
    </row>
    <row r="16" ht="48" customHeight="1">
      <c r="A16" s="15" t="str">
        <v>https://www.digikey.com/en/products/detail/skyworks-solutions-inc/SKY13585-679LF/6172968</v>
      </c>
      <c r="B16" s="2" t="n">
        <v>403</v>
      </c>
      <c r="C16" s="2" t="str">
        <v>Blocked automated check</v>
      </c>
      <c r="D16" s="2" t="str">
        <v>Product/lifecycle content read</v>
      </c>
      <c r="E16" s="2" t="str">
        <v>2026-09-14</v>
      </c>
    </row>
    <row r="17" ht="48" customHeight="1">
      <c r="A17" s="15" t="str">
        <v>https://www.digikey.com/en/products/detail/stmicroelectronics/LIS2MDLTR/7565512</v>
      </c>
      <c r="B17" s="2" t="n">
        <v>403</v>
      </c>
      <c r="C17" s="2" t="str">
        <v>Blocked automated check</v>
      </c>
      <c r="D17" s="2" t="str">
        <v>Product/lifecycle content read</v>
      </c>
      <c r="E17" s="2" t="str">
        <v>2026-09-14</v>
      </c>
    </row>
    <row r="18" ht="48" customHeight="1">
      <c r="A18" s="15" t="str">
        <v>https://www.digikey.com/en/products/detail/stmicroelectronics/LPS22HBTR/5799910</v>
      </c>
      <c r="B18" s="2" t="n">
        <v>403</v>
      </c>
      <c r="C18" s="2" t="str">
        <v>Blocked automated check</v>
      </c>
      <c r="D18" s="2" t="str">
        <v>Product/lifecycle content read</v>
      </c>
      <c r="E18" s="2" t="str">
        <v>2026-09-14</v>
      </c>
    </row>
    <row r="19" ht="48" customHeight="1">
      <c r="A19" s="15" t="str">
        <v>https://www.digikey.com/en/products/detail/stmicroelectronics/ST33HTPH2X32AHE4/18085561</v>
      </c>
      <c r="B19" s="2" t="n">
        <v>403</v>
      </c>
      <c r="C19" s="2" t="str">
        <v>Blocked automated check</v>
      </c>
      <c r="D19" s="2" t="str">
        <v>Product/lifecycle content read</v>
      </c>
      <c r="E19" s="2" t="str">
        <v>2026-09-14</v>
      </c>
    </row>
    <row r="20" ht="48" customHeight="1">
      <c r="A20" s="15" t="str">
        <v>https://www.digikey.com/en/products/detail/stmicroelectronics/STM32F446RET6/5175962</v>
      </c>
      <c r="B20" s="2" t="n">
        <v>403</v>
      </c>
      <c r="C20" s="2" t="str">
        <v>Blocked automated check</v>
      </c>
      <c r="D20" s="2" t="str">
        <v>Product/lifecycle content read</v>
      </c>
      <c r="E20" s="2" t="str">
        <v>2026-09-14</v>
      </c>
    </row>
    <row r="21" ht="48" customHeight="1">
      <c r="A21" s="15" t="str">
        <v>https://www.digikey.com/en/products/detail/stmicroelectronics/STM32H743IIK6/7915905</v>
      </c>
      <c r="B21" s="2" t="n">
        <v>403</v>
      </c>
      <c r="C21" s="2" t="str">
        <v>Blocked automated check</v>
      </c>
      <c r="D21" s="2" t="str">
        <v>Product/lifecycle content read</v>
      </c>
      <c r="E21" s="2" t="str">
        <v>2026-09-14</v>
      </c>
    </row>
    <row r="22" ht="48" customHeight="1">
      <c r="A22" s="15" t="str">
        <v>https://www.digikey.com/en/products/detail/stmicroelectronics/TESEO-LIV3R/10222210</v>
      </c>
      <c r="B22" s="2" t="n">
        <v>403</v>
      </c>
      <c r="C22" s="2" t="str">
        <v>Blocked automated check</v>
      </c>
      <c r="D22" s="2" t="str">
        <v>Product/lifecycle content read</v>
      </c>
      <c r="E22" s="2" t="str">
        <v>2026-09-14</v>
      </c>
    </row>
    <row r="23" ht="48" customHeight="1">
      <c r="A23" s="15" t="str">
        <v>https://www.digikey.com/en/products/detail/tdk-invensense/ICM-42688-P/10824934</v>
      </c>
      <c r="B23" s="2" t="n">
        <v>403</v>
      </c>
      <c r="C23" s="2" t="str">
        <v>Blocked automated check</v>
      </c>
      <c r="D23" s="2" t="str">
        <v>Product/lifecycle content read</v>
      </c>
      <c r="E23" s="2" t="str">
        <v>2026-09-14</v>
      </c>
    </row>
    <row r="24" ht="48" customHeight="1">
      <c r="A24" s="15" t="str">
        <v>https://www.digikey.com/en/products/detail/tdk/HHM1595A1/1641775</v>
      </c>
      <c r="B24" s="2" t="n">
        <v>403</v>
      </c>
      <c r="C24" s="2" t="str">
        <v>Blocked automated check</v>
      </c>
      <c r="D24" s="2" t="str">
        <v>Product/lifecycle content read</v>
      </c>
      <c r="E24" s="2" t="str">
        <v>2026-09-14</v>
      </c>
    </row>
    <row r="25" ht="48" customHeight="1">
      <c r="A25" s="15" t="str">
        <v>https://www.digikey.com/en/products/detail/texas-instruments/THVD1551DGK/8286292</v>
      </c>
      <c r="B25" s="2" t="n">
        <v>403</v>
      </c>
      <c r="C25" s="2" t="str">
        <v>Blocked automated check</v>
      </c>
      <c r="D25" s="2" t="str">
        <v>Product/lifecycle content read</v>
      </c>
      <c r="E25" s="2" t="str">
        <v>2026-09-14</v>
      </c>
    </row>
    <row r="26" ht="48" customHeight="1">
      <c r="A26" s="15" t="str">
        <v>https://www.digikey.com/en/products/detail/texas-instruments/TXB0104RGYR/1629103</v>
      </c>
      <c r="B26" s="2" t="n">
        <v>403</v>
      </c>
      <c r="C26" s="2" t="str">
        <v>Blocked automated check</v>
      </c>
      <c r="D26" s="2" t="str">
        <v>Product/lifecycle content read</v>
      </c>
      <c r="E26" s="2" t="str">
        <v>2026-09-14</v>
      </c>
    </row>
    <row r="27" ht="48" customHeight="1">
      <c r="A27" s="15" t="str">
        <v>https://www.digikey.com/en/products?keywords=0%20ohm%20jumper%200402%20EIA</v>
      </c>
      <c r="B27" s="2" t="n">
        <v>403</v>
      </c>
      <c r="C27" s="2" t="str">
        <v>Blocked automated check</v>
      </c>
      <c r="D27" s="2" t="str">
        <v>Not independently content-verified</v>
      </c>
      <c r="E27" s="2" t="str">
        <v>2026-09-14</v>
      </c>
    </row>
    <row r="28" ht="48" customHeight="1">
      <c r="A28" s="15" t="str">
        <v>https://www.digikey.com/en/products?keywords=0%20ohm%20jumper%200603%20EIA</v>
      </c>
      <c r="B28" s="2" t="n">
        <v>403</v>
      </c>
      <c r="C28" s="2" t="str">
        <v>Blocked automated check</v>
      </c>
      <c r="D28" s="2" t="str">
        <v>Not independently content-verified</v>
      </c>
      <c r="E28" s="2" t="str">
        <v>2026-09-14</v>
      </c>
    </row>
    <row r="29" ht="48" customHeight="1">
      <c r="A29" s="15" t="str">
        <v>https://www.digikey.com/en/products?keywords=0p3</v>
      </c>
      <c r="B29" s="2" t="n">
        <v>403</v>
      </c>
      <c r="C29" s="2" t="str">
        <v>Blocked automated check</v>
      </c>
      <c r="D29" s="2" t="str">
        <v>Not independently content-verified</v>
      </c>
      <c r="E29" s="2" t="str">
        <v>2026-09-14</v>
      </c>
    </row>
    <row r="30" ht="48" customHeight="1">
      <c r="A30" s="15" t="str">
        <v>https://www.digikey.com/en/products?keywords=0p5%20%C5%BD%20%2B%2F-%20.05</v>
      </c>
      <c r="B30" s="2" t="n">
        <v>403</v>
      </c>
      <c r="C30" s="2" t="str">
        <v>Blocked automated check</v>
      </c>
      <c r="D30" s="2" t="str">
        <v>Not independently content-verified</v>
      </c>
      <c r="E30" s="2" t="str">
        <v>2026-09-14</v>
      </c>
    </row>
    <row r="31" ht="48" customHeight="1">
      <c r="A31" s="15" t="str">
        <v>https://www.digikey.com/en/products?keywords=0p8%20.1%25</v>
      </c>
      <c r="B31" s="2" t="n">
        <v>403</v>
      </c>
      <c r="C31" s="2" t="str">
        <v>Blocked automated check</v>
      </c>
      <c r="D31" s="2" t="str">
        <v>Not independently content-verified</v>
      </c>
      <c r="E31" s="2" t="str">
        <v>2026-09-14</v>
      </c>
    </row>
    <row r="32" ht="48" customHeight="1">
      <c r="A32" s="15" t="str">
        <v>https://www.digikey.com/en/products?keywords=1%20nF%20C0G%2050%20V%205%25%200603%20EIA</v>
      </c>
      <c r="B32" s="2" t="n">
        <v>403</v>
      </c>
      <c r="C32" s="2" t="str">
        <v>Blocked automated check</v>
      </c>
      <c r="D32" s="2" t="str">
        <v>Not independently content-verified</v>
      </c>
      <c r="E32" s="2" t="str">
        <v>2026-09-14</v>
      </c>
    </row>
    <row r="33" ht="48" customHeight="1">
      <c r="A33" s="15" t="str">
        <v>https://www.digikey.com/en/products?keywords=1%20nF%20X7R%2050%20V%2010%25%200603%20EIA</v>
      </c>
      <c r="B33" s="2" t="n">
        <v>403</v>
      </c>
      <c r="C33" s="2" t="str">
        <v>Blocked automated check</v>
      </c>
      <c r="D33" s="2" t="str">
        <v>Not independently content-verified</v>
      </c>
      <c r="E33" s="2" t="str">
        <v>2026-09-14</v>
      </c>
    </row>
    <row r="34" ht="48" customHeight="1">
      <c r="A34" s="15" t="str">
        <v>https://www.digikey.com/en/products?keywords=1%20uF%20X7R%2016%20V%2010%25%200603%20EIA</v>
      </c>
      <c r="B34" s="2" t="n">
        <v>403</v>
      </c>
      <c r="C34" s="2" t="str">
        <v>Blocked automated check</v>
      </c>
      <c r="D34" s="2" t="str">
        <v>Not independently content-verified</v>
      </c>
      <c r="E34" s="2" t="str">
        <v>2026-09-14</v>
      </c>
    </row>
    <row r="35" ht="48" customHeight="1">
      <c r="A35" s="15" t="str">
        <v>https://www.digikey.com/en/products?keywords=1-1734248-5</v>
      </c>
      <c r="B35" s="2" t="n">
        <v>403</v>
      </c>
      <c r="C35" s="2" t="str">
        <v>Blocked automated check</v>
      </c>
      <c r="D35" s="2" t="str">
        <v>Not independently content-verified</v>
      </c>
      <c r="E35" s="2" t="str">
        <v>2026-09-14</v>
      </c>
    </row>
    <row r="36" ht="48" customHeight="1">
      <c r="A36" s="15" t="str">
        <v>https://www.digikey.com/en/products?keywords=1-2199230-5</v>
      </c>
      <c r="B36" s="2" t="n">
        <v>403</v>
      </c>
      <c r="C36" s="2" t="str">
        <v>Blocked automated check</v>
      </c>
      <c r="D36" s="2" t="str">
        <v>Not independently content-verified</v>
      </c>
      <c r="E36" s="2" t="str">
        <v>2026-09-14</v>
      </c>
    </row>
    <row r="37" ht="48" customHeight="1">
      <c r="A37" s="15" t="str">
        <v>https://www.digikey.com/en/products?keywords=10</v>
      </c>
      <c r="B37" s="2" t="n">
        <v>403</v>
      </c>
      <c r="C37" s="2" t="str">
        <v>Blocked automated check</v>
      </c>
      <c r="D37" s="2" t="str">
        <v>Not independently content-verified</v>
      </c>
      <c r="E37" s="2" t="str">
        <v>2026-09-14</v>
      </c>
    </row>
    <row r="38" ht="48" customHeight="1">
      <c r="A38" s="15" t="str">
        <v>https://www.digikey.com/en/products?keywords=10%20nF%20X7R%2050%20V%2010%25%200603%20EIA</v>
      </c>
      <c r="B38" s="2" t="n">
        <v>403</v>
      </c>
      <c r="C38" s="2" t="str">
        <v>Blocked automated check</v>
      </c>
      <c r="D38" s="2" t="str">
        <v>Not independently content-verified</v>
      </c>
      <c r="E38" s="2" t="str">
        <v>2026-09-14</v>
      </c>
    </row>
    <row r="39" ht="48" customHeight="1">
      <c r="A39" s="15" t="str">
        <v>https://www.digikey.com/en/products?keywords=10%20ohm%2C%201%25%2C%20%3E%3D0.1%20W%200603%20EIA</v>
      </c>
      <c r="B39" s="2" t="n">
        <v>403</v>
      </c>
      <c r="C39" s="2" t="str">
        <v>Blocked automated check</v>
      </c>
      <c r="D39" s="2" t="str">
        <v>Not independently content-verified</v>
      </c>
      <c r="E39" s="2" t="str">
        <v>2026-09-14</v>
      </c>
    </row>
    <row r="40" ht="48" customHeight="1">
      <c r="A40" s="15" t="str">
        <v>https://www.digikey.com/en/products?keywords=10%20uF%20X7R%2016%20V%2010%25%200805%20EIA</v>
      </c>
      <c r="B40" s="2" t="n">
        <v>403</v>
      </c>
      <c r="C40" s="2" t="str">
        <v>Blocked automated check</v>
      </c>
      <c r="D40" s="2" t="str">
        <v>Not independently content-verified</v>
      </c>
      <c r="E40" s="2" t="str">
        <v>2026-09-14</v>
      </c>
    </row>
    <row r="41" ht="48" customHeight="1">
      <c r="A41" s="15" t="str">
        <v>https://www.digikey.com/en/products?keywords=100</v>
      </c>
      <c r="B41" s="2" t="n">
        <v>403</v>
      </c>
      <c r="C41" s="2" t="str">
        <v>Blocked automated check</v>
      </c>
      <c r="D41" s="2" t="str">
        <v>Not independently content-verified</v>
      </c>
      <c r="E41" s="2" t="str">
        <v>2026-09-14</v>
      </c>
    </row>
    <row r="42" ht="48" customHeight="1">
      <c r="A42" s="15" t="str">
        <v>https://www.digikey.com/en/products?keywords=100%20nF%20X7R%2016%20V%2010%25%200402%20EIA</v>
      </c>
      <c r="B42" s="2" t="n">
        <v>403</v>
      </c>
      <c r="C42" s="2" t="str">
        <v>Blocked automated check</v>
      </c>
      <c r="D42" s="2" t="str">
        <v>Not independently content-verified</v>
      </c>
      <c r="E42" s="2" t="str">
        <v>2026-09-14</v>
      </c>
    </row>
    <row r="43" ht="48" customHeight="1">
      <c r="A43" s="15" t="str">
        <v>https://www.digikey.com/en/products?keywords=100%20nF%20X7R%2025%20V%2010%25%200603%20EIA</v>
      </c>
      <c r="B43" s="2" t="n">
        <v>403</v>
      </c>
      <c r="C43" s="2" t="str">
        <v>Blocked automated check</v>
      </c>
      <c r="D43" s="2" t="str">
        <v>Not independently content-verified</v>
      </c>
      <c r="E43" s="2" t="str">
        <v>2026-09-14</v>
      </c>
    </row>
    <row r="44" ht="48" customHeight="1">
      <c r="A44" s="15" t="str">
        <v>https://www.digikey.com/en/products?keywords=100%20ohm%2C%201%25%2C%20%3E%3D0.1%20W%200603%20EIA</v>
      </c>
      <c r="B44" s="2" t="n">
        <v>403</v>
      </c>
      <c r="C44" s="2" t="str">
        <v>Blocked automated check</v>
      </c>
      <c r="D44" s="2" t="str">
        <v>Not independently content-verified</v>
      </c>
      <c r="E44" s="2" t="str">
        <v>2026-09-14</v>
      </c>
    </row>
    <row r="45" ht="48" customHeight="1">
      <c r="A45" s="15" t="str">
        <v>https://www.digikey.com/en/products?keywords=100%20pF%20C0G%2050%20V%205%25%200603%20EIA</v>
      </c>
      <c r="B45" s="2" t="n">
        <v>403</v>
      </c>
      <c r="C45" s="2" t="str">
        <v>Blocked automated check</v>
      </c>
      <c r="D45" s="2" t="str">
        <v>Not independently content-verified</v>
      </c>
      <c r="E45" s="2" t="str">
        <v>2026-09-14</v>
      </c>
    </row>
    <row r="46" ht="48" customHeight="1">
      <c r="A46" s="15" t="str">
        <v>https://www.digikey.com/en/products?keywords=100k</v>
      </c>
      <c r="B46" s="2" t="n">
        <v>403</v>
      </c>
      <c r="C46" s="2" t="str">
        <v>Blocked automated check</v>
      </c>
      <c r="D46" s="2" t="str">
        <v>Not independently content-verified</v>
      </c>
      <c r="E46" s="2" t="str">
        <v>2026-09-14</v>
      </c>
    </row>
    <row r="47" ht="48" customHeight="1">
      <c r="A47" s="15" t="str">
        <v>https://www.digikey.com/en/products?keywords=100k%20ohm%2C%201%25%2C%20%3E%3D0.0625%20W%200402%20EIA</v>
      </c>
      <c r="B47" s="2" t="n">
        <v>403</v>
      </c>
      <c r="C47" s="2" t="str">
        <v>Blocked automated check</v>
      </c>
      <c r="D47" s="2" t="str">
        <v>Not independently content-verified</v>
      </c>
      <c r="E47" s="2" t="str">
        <v>2026-09-14</v>
      </c>
    </row>
    <row r="48" ht="48" customHeight="1">
      <c r="A48" s="15" t="str">
        <v>https://www.digikey.com/en/products?keywords=100k%20ohm%2C%201%25%2C%20%3E%3D0.1%20W%200603%20EIA</v>
      </c>
      <c r="B48" s="2" t="n">
        <v>403</v>
      </c>
      <c r="C48" s="2" t="str">
        <v>Blocked automated check</v>
      </c>
      <c r="D48" s="2" t="str">
        <v>Not independently content-verified</v>
      </c>
      <c r="E48" s="2" t="str">
        <v>2026-09-14</v>
      </c>
    </row>
    <row r="49" ht="48" customHeight="1">
      <c r="A49" s="15" t="str">
        <v>https://www.digikey.com/en/products?keywords=100n</v>
      </c>
      <c r="B49" s="2" t="n">
        <v>403</v>
      </c>
      <c r="C49" s="2" t="str">
        <v>Blocked automated check</v>
      </c>
      <c r="D49" s="2" t="str">
        <v>Not independently content-verified</v>
      </c>
      <c r="E49" s="2" t="str">
        <v>2026-09-14</v>
      </c>
    </row>
    <row r="50" ht="48" customHeight="1">
      <c r="A50" s="15" t="str">
        <v>https://www.digikey.com/en/products?keywords=100p</v>
      </c>
      <c r="B50" s="2" t="n">
        <v>403</v>
      </c>
      <c r="C50" s="2" t="str">
        <v>Blocked automated check</v>
      </c>
      <c r="D50" s="2" t="str">
        <v>Not independently content-verified</v>
      </c>
      <c r="E50" s="2" t="str">
        <v>2026-09-14</v>
      </c>
    </row>
    <row r="51" ht="48" customHeight="1">
      <c r="A51" s="15" t="str">
        <v>https://www.digikey.com/en/products?keywords=100u</v>
      </c>
      <c r="B51" s="2" t="n">
        <v>403</v>
      </c>
      <c r="C51" s="2" t="str">
        <v>Blocked automated check</v>
      </c>
      <c r="D51" s="2" t="str">
        <v>Not independently content-verified</v>
      </c>
      <c r="E51" s="2" t="str">
        <v>2026-09-14</v>
      </c>
    </row>
    <row r="52" ht="48" customHeight="1">
      <c r="A52" s="15" t="str">
        <v>https://www.digikey.com/en/products?keywords=1054500101</v>
      </c>
      <c r="B52" s="2" t="n">
        <v>403</v>
      </c>
      <c r="C52" s="2" t="str">
        <v>Blocked automated check</v>
      </c>
      <c r="D52" s="2" t="str">
        <v>Not independently content-verified</v>
      </c>
      <c r="E52" s="2" t="str">
        <v>2026-09-14</v>
      </c>
    </row>
    <row r="53" ht="48" customHeight="1">
      <c r="A53" s="15" t="str">
        <v>https://www.digikey.com/en/products?keywords=10k</v>
      </c>
      <c r="B53" s="2" t="n">
        <v>403</v>
      </c>
      <c r="C53" s="2" t="str">
        <v>Blocked automated check</v>
      </c>
      <c r="D53" s="2" t="str">
        <v>Not independently content-verified</v>
      </c>
      <c r="E53" s="2" t="str">
        <v>2026-09-14</v>
      </c>
    </row>
    <row r="54" ht="48" customHeight="1">
      <c r="A54" s="15" t="str">
        <v>https://www.digikey.com/en/products?keywords=10k%20ohm%2C%201%25%2C%20%3E%3D0.0625%20W%200402%20EIA</v>
      </c>
      <c r="B54" s="2" t="n">
        <v>403</v>
      </c>
      <c r="C54" s="2" t="str">
        <v>Blocked automated check</v>
      </c>
      <c r="D54" s="2" t="str">
        <v>Not independently content-verified</v>
      </c>
      <c r="E54" s="2" t="str">
        <v>2026-09-14</v>
      </c>
    </row>
    <row r="55" ht="48" customHeight="1">
      <c r="A55" s="15" t="str">
        <v>https://www.digikey.com/en/products?keywords=10k%20ohm%2C%201%25%2C%20%3E%3D0.1%20W%200603%20EIA</v>
      </c>
      <c r="B55" s="2" t="n">
        <v>403</v>
      </c>
      <c r="C55" s="2" t="str">
        <v>Blocked automated check</v>
      </c>
      <c r="D55" s="2" t="str">
        <v>Not independently content-verified</v>
      </c>
      <c r="E55" s="2" t="str">
        <v>2026-09-14</v>
      </c>
    </row>
    <row r="56" ht="48" customHeight="1">
      <c r="A56" s="15" t="str">
        <v>https://www.digikey.com/en/products?keywords=10n</v>
      </c>
      <c r="B56" s="2" t="n">
        <v>403</v>
      </c>
      <c r="C56" s="2" t="str">
        <v>Blocked automated check</v>
      </c>
      <c r="D56" s="2" t="str">
        <v>Not independently content-verified</v>
      </c>
      <c r="E56" s="2" t="str">
        <v>2026-09-14</v>
      </c>
    </row>
    <row r="57" ht="48" customHeight="1">
      <c r="A57" s="15" t="str">
        <v>https://www.digikey.com/en/products?keywords=10p</v>
      </c>
      <c r="B57" s="2" t="n">
        <v>403</v>
      </c>
      <c r="C57" s="2" t="str">
        <v>Blocked automated check</v>
      </c>
      <c r="D57" s="2" t="str">
        <v>Not independently content-verified</v>
      </c>
      <c r="E57" s="2" t="str">
        <v>2026-09-14</v>
      </c>
    </row>
    <row r="58" ht="48" customHeight="1">
      <c r="A58" s="15" t="str">
        <v>https://www.digikey.com/en/products?keywords=10u</v>
      </c>
      <c r="B58" s="2" t="n">
        <v>403</v>
      </c>
      <c r="C58" s="2" t="str">
        <v>Blocked automated check</v>
      </c>
      <c r="D58" s="2" t="str">
        <v>Not independently content-verified</v>
      </c>
      <c r="E58" s="2" t="str">
        <v>2026-09-14</v>
      </c>
    </row>
    <row r="59" ht="48" customHeight="1">
      <c r="A59" s="15" t="str">
        <v>https://www.digikey.com/en/products?keywords=11k</v>
      </c>
      <c r="B59" s="2" t="n">
        <v>403</v>
      </c>
      <c r="C59" s="2" t="str">
        <v>Blocked automated check</v>
      </c>
      <c r="D59" s="2" t="str">
        <v>Not independently content-verified</v>
      </c>
      <c r="E59" s="2" t="str">
        <v>2026-09-14</v>
      </c>
    </row>
    <row r="60" ht="48" customHeight="1">
      <c r="A60" s="15" t="str">
        <v>https://www.digikey.com/en/products?keywords=120</v>
      </c>
      <c r="B60" s="2" t="n">
        <v>403</v>
      </c>
      <c r="C60" s="2" t="str">
        <v>Blocked automated check</v>
      </c>
      <c r="D60" s="2" t="str">
        <v>Not independently content-verified</v>
      </c>
      <c r="E60" s="2" t="str">
        <v>2026-09-14</v>
      </c>
    </row>
    <row r="61" ht="48" customHeight="1">
      <c r="A61" s="15" t="str">
        <v>https://www.digikey.com/en/products?keywords=12k</v>
      </c>
      <c r="B61" s="2" t="n">
        <v>403</v>
      </c>
      <c r="C61" s="2" t="str">
        <v>Blocked automated check</v>
      </c>
      <c r="D61" s="2" t="str">
        <v>Not independently content-verified</v>
      </c>
      <c r="E61" s="2" t="str">
        <v>2026-09-14</v>
      </c>
    </row>
    <row r="62" ht="48" customHeight="1">
      <c r="A62" s="15" t="str">
        <v>https://www.digikey.com/en/products?keywords=12k%201%25</v>
      </c>
      <c r="B62" s="2" t="n">
        <v>403</v>
      </c>
      <c r="C62" s="2" t="str">
        <v>Blocked automated check</v>
      </c>
      <c r="D62" s="2" t="str">
        <v>Not independently content-verified</v>
      </c>
      <c r="E62" s="2" t="str">
        <v>2026-09-14</v>
      </c>
    </row>
    <row r="63" ht="48" customHeight="1">
      <c r="A63" s="15" t="str">
        <v>https://www.digikey.com/en/products?keywords=12p</v>
      </c>
      <c r="B63" s="2" t="n">
        <v>403</v>
      </c>
      <c r="C63" s="2" t="str">
        <v>Blocked automated check</v>
      </c>
      <c r="D63" s="2" t="str">
        <v>Not independently content-verified</v>
      </c>
      <c r="E63" s="2" t="str">
        <v>2026-09-14</v>
      </c>
    </row>
    <row r="64" ht="48" customHeight="1">
      <c r="A64" s="15" t="str">
        <v>https://www.digikey.com/en/products?keywords=15k%201%25</v>
      </c>
      <c r="B64" s="2" t="n">
        <v>403</v>
      </c>
      <c r="C64" s="2" t="str">
        <v>Blocked automated check</v>
      </c>
      <c r="D64" s="2" t="str">
        <v>Not independently content-verified</v>
      </c>
      <c r="E64" s="2" t="str">
        <v>2026-09-14</v>
      </c>
    </row>
    <row r="65" ht="48" customHeight="1">
      <c r="A65" s="15" t="str">
        <v>https://www.digikey.com/en/products?keywords=16k</v>
      </c>
      <c r="B65" s="2" t="n">
        <v>403</v>
      </c>
      <c r="C65" s="2" t="str">
        <v>Blocked automated check</v>
      </c>
      <c r="D65" s="2" t="str">
        <v>Not independently content-verified</v>
      </c>
      <c r="E65" s="2" t="str">
        <v>2026-09-14</v>
      </c>
    </row>
    <row r="66" ht="48" customHeight="1">
      <c r="A66" s="15" t="str">
        <v>https://www.digikey.com/en/products?keywords=16p</v>
      </c>
      <c r="B66" s="2" t="n">
        <v>403</v>
      </c>
      <c r="C66" s="2" t="str">
        <v>Blocked automated check</v>
      </c>
      <c r="D66" s="2" t="str">
        <v>Not independently content-verified</v>
      </c>
      <c r="E66" s="2" t="str">
        <v>2026-09-14</v>
      </c>
    </row>
    <row r="67" ht="48" customHeight="1">
      <c r="A67" s="15" t="str">
        <v>https://www.digikey.com/en/products?keywords=18p</v>
      </c>
      <c r="B67" s="2" t="n">
        <v>403</v>
      </c>
      <c r="C67" s="2" t="str">
        <v>Blocked automated check</v>
      </c>
      <c r="D67" s="2" t="str">
        <v>Not independently content-verified</v>
      </c>
      <c r="E67" s="2" t="str">
        <v>2026-09-14</v>
      </c>
    </row>
    <row r="68" ht="48" customHeight="1">
      <c r="A68" s="15" t="str">
        <v>https://www.digikey.com/en/products?keywords=1M%20ohm%2C%201%25%2C%20%3E%3D0.1%20W%200603%20EIA</v>
      </c>
      <c r="B68" s="2" t="n">
        <v>403</v>
      </c>
      <c r="C68" s="2" t="str">
        <v>Blocked automated check</v>
      </c>
      <c r="D68" s="2" t="str">
        <v>Not independently content-verified</v>
      </c>
      <c r="E68" s="2" t="str">
        <v>2026-09-14</v>
      </c>
    </row>
    <row r="69" ht="48" customHeight="1">
      <c r="A69" s="15" t="str">
        <v>https://www.digikey.com/en/products?keywords=1k</v>
      </c>
      <c r="B69" s="2" t="n">
        <v>403</v>
      </c>
      <c r="C69" s="2" t="str">
        <v>Blocked automated check</v>
      </c>
      <c r="D69" s="2" t="str">
        <v>Not independently content-verified</v>
      </c>
      <c r="E69" s="2" t="str">
        <v>2026-09-14</v>
      </c>
    </row>
    <row r="70" ht="48" customHeight="1">
      <c r="A70" s="15" t="str">
        <v>https://www.digikey.com/en/products?keywords=1k%20ohm%2C%201%25%2C%20%3E%3D0.0625%20W%200402%20EIA</v>
      </c>
      <c r="B70" s="2" t="n">
        <v>403</v>
      </c>
      <c r="C70" s="2" t="str">
        <v>Blocked automated check</v>
      </c>
      <c r="D70" s="2" t="str">
        <v>Not independently content-verified</v>
      </c>
      <c r="E70" s="2" t="str">
        <v>2026-09-14</v>
      </c>
    </row>
    <row r="71" ht="48" customHeight="1">
      <c r="A71" s="15" t="str">
        <v>https://www.digikey.com/en/products?keywords=1k%20ohm%2C%201%25%2C%20%3E%3D0.1%20W%200603%20EIA</v>
      </c>
      <c r="B71" s="2" t="n">
        <v>403</v>
      </c>
      <c r="C71" s="2" t="str">
        <v>Blocked automated check</v>
      </c>
      <c r="D71" s="2" t="str">
        <v>Not independently content-verified</v>
      </c>
      <c r="E71" s="2" t="str">
        <v>2026-09-14</v>
      </c>
    </row>
    <row r="72" ht="48" customHeight="1">
      <c r="A72" s="15" t="str">
        <v>https://www.digikey.com/en/products?keywords=1n</v>
      </c>
      <c r="B72" s="2" t="n">
        <v>403</v>
      </c>
      <c r="C72" s="2" t="str">
        <v>Blocked automated check</v>
      </c>
      <c r="D72" s="2" t="str">
        <v>Not independently content-verified</v>
      </c>
      <c r="E72" s="2" t="str">
        <v>2026-09-14</v>
      </c>
    </row>
    <row r="73" ht="48" customHeight="1">
      <c r="A73" s="15" t="str">
        <v>https://www.digikey.com/en/products?keywords=1n2</v>
      </c>
      <c r="B73" s="2" t="n">
        <v>403</v>
      </c>
      <c r="C73" s="2" t="str">
        <v>Blocked automated check</v>
      </c>
      <c r="D73" s="2" t="str">
        <v>Not independently content-verified</v>
      </c>
      <c r="E73" s="2" t="str">
        <v>2026-09-14</v>
      </c>
    </row>
    <row r="74" ht="48" customHeight="1">
      <c r="A74" s="15" t="str">
        <v>https://www.digikey.com/en/products?keywords=1p2</v>
      </c>
      <c r="B74" s="2" t="n">
        <v>403</v>
      </c>
      <c r="C74" s="2" t="str">
        <v>Blocked automated check</v>
      </c>
      <c r="D74" s="2" t="str">
        <v>Not independently content-verified</v>
      </c>
      <c r="E74" s="2" t="str">
        <v>2026-09-14</v>
      </c>
    </row>
    <row r="75" ht="48" customHeight="1">
      <c r="A75" s="15" t="str">
        <v>https://www.digikey.com/en/products?keywords=1p2%20.1%25</v>
      </c>
      <c r="B75" s="2" t="n">
        <v>403</v>
      </c>
      <c r="C75" s="2" t="str">
        <v>Blocked automated check</v>
      </c>
      <c r="D75" s="2" t="str">
        <v>Not independently content-verified</v>
      </c>
      <c r="E75" s="2" t="str">
        <v>2026-09-14</v>
      </c>
    </row>
    <row r="76" ht="48" customHeight="1">
      <c r="A76" s="15" t="str">
        <v>https://www.digikey.com/en/products?keywords=1u</v>
      </c>
      <c r="B76" s="2" t="n">
        <v>403</v>
      </c>
      <c r="C76" s="2" t="str">
        <v>Blocked automated check</v>
      </c>
      <c r="D76" s="2" t="str">
        <v>Not independently content-verified</v>
      </c>
      <c r="E76" s="2" t="str">
        <v>2026-09-14</v>
      </c>
    </row>
    <row r="77" ht="48" customHeight="1">
      <c r="A77" s="15" t="str">
        <v>https://www.digikey.com/en/products?keywords=2.2k%20ohm%2C%201%25%2C%20%3E%3D0.1%20W%200603%20EIA</v>
      </c>
      <c r="B77" s="2" t="n">
        <v>403</v>
      </c>
      <c r="C77" s="2" t="str">
        <v>Blocked automated check</v>
      </c>
      <c r="D77" s="2" t="str">
        <v>Not independently content-verified</v>
      </c>
      <c r="E77" s="2" t="str">
        <v>2026-09-14</v>
      </c>
    </row>
    <row r="78" ht="48" customHeight="1">
      <c r="A78" s="15" t="str">
        <v>https://www.digikey.com/en/products?keywords=2.54%20mm%20female%20header%20Select%20footprint</v>
      </c>
      <c r="B78" s="2" t="n">
        <v>403</v>
      </c>
      <c r="C78" s="2" t="str">
        <v>Blocked automated check</v>
      </c>
      <c r="D78" s="2" t="str">
        <v>Not independently content-verified</v>
      </c>
      <c r="E78" s="2" t="str">
        <v>2026-09-14</v>
      </c>
    </row>
    <row r="79" ht="48" customHeight="1">
      <c r="A79" s="15" t="str">
        <v>https://www.digikey.com/en/products?keywords=2.54%20mm%20jumper%20shunt%20Select%20footprint</v>
      </c>
      <c r="B79" s="2" t="n">
        <v>403</v>
      </c>
      <c r="C79" s="2" t="str">
        <v>Blocked automated check</v>
      </c>
      <c r="D79" s="2" t="str">
        <v>Not independently content-verified</v>
      </c>
      <c r="E79" s="2" t="str">
        <v>2026-09-14</v>
      </c>
    </row>
    <row r="80" ht="48" customHeight="1">
      <c r="A80" s="15" t="str">
        <v>https://www.digikey.com/en/products?keywords=2.54%20mm%20male%20breakaway%20header%20Select%20footprint</v>
      </c>
      <c r="B80" s="2" t="n">
        <v>403</v>
      </c>
      <c r="C80" s="2" t="str">
        <v>Blocked automated check</v>
      </c>
      <c r="D80" s="2" t="str">
        <v>Not independently content-verified</v>
      </c>
      <c r="E80" s="2" t="str">
        <v>2026-09-14</v>
      </c>
    </row>
    <row r="81" ht="48" customHeight="1">
      <c r="A81" s="15" t="str">
        <v>https://www.digikey.com/en/products?keywords=200</v>
      </c>
      <c r="B81" s="2" t="n">
        <v>403</v>
      </c>
      <c r="C81" s="2" t="str">
        <v>Blocked automated check</v>
      </c>
      <c r="D81" s="2" t="str">
        <v>Not independently content-verified</v>
      </c>
      <c r="E81" s="2" t="str">
        <v>2026-09-14</v>
      </c>
    </row>
    <row r="82" ht="48" customHeight="1">
      <c r="A82" s="15" t="str">
        <v>https://www.digikey.com/en/products?keywords=2041119-1</v>
      </c>
      <c r="B82" s="2" t="n">
        <v>403</v>
      </c>
      <c r="C82" s="2" t="str">
        <v>Blocked automated check</v>
      </c>
      <c r="D82" s="2" t="str">
        <v>Not independently content-verified</v>
      </c>
      <c r="E82" s="2" t="str">
        <v>2026-09-14</v>
      </c>
    </row>
    <row r="83" ht="48" customHeight="1">
      <c r="A83" s="15" t="str">
        <v>https://www.digikey.com/en/products?keywords=20k</v>
      </c>
      <c r="B83" s="2" t="n">
        <v>403</v>
      </c>
      <c r="C83" s="2" t="str">
        <v>Blocked automated check</v>
      </c>
      <c r="D83" s="2" t="str">
        <v>Not independently content-verified</v>
      </c>
      <c r="E83" s="2" t="str">
        <v>2026-09-14</v>
      </c>
    </row>
    <row r="84" ht="48" customHeight="1">
      <c r="A84" s="15" t="str">
        <v>https://www.digikey.com/en/products?keywords=2199230-3</v>
      </c>
      <c r="B84" s="2" t="n">
        <v>403</v>
      </c>
      <c r="C84" s="2" t="str">
        <v>Blocked automated check</v>
      </c>
      <c r="D84" s="2" t="str">
        <v>Not independently content-verified</v>
      </c>
      <c r="E84" s="2" t="str">
        <v>2026-09-14</v>
      </c>
    </row>
    <row r="85" ht="48" customHeight="1">
      <c r="A85" s="15" t="str">
        <v>https://www.digikey.com/en/products?keywords=22%20ohm%2C%201%25%2C%20%3E%3D0.1%20W%200603%20EIA</v>
      </c>
      <c r="B85" s="2" t="n">
        <v>403</v>
      </c>
      <c r="C85" s="2" t="str">
        <v>Blocked automated check</v>
      </c>
      <c r="D85" s="2" t="str">
        <v>Not independently content-verified</v>
      </c>
      <c r="E85" s="2" t="str">
        <v>2026-09-14</v>
      </c>
    </row>
    <row r="86" ht="48" customHeight="1">
      <c r="A86" s="15" t="str">
        <v>https://www.digikey.com/en/products?keywords=22%20pF%20C0G%2050%20V%205%25%200603%20EIA</v>
      </c>
      <c r="B86" s="2" t="n">
        <v>403</v>
      </c>
      <c r="C86" s="2" t="str">
        <v>Blocked automated check</v>
      </c>
      <c r="D86" s="2" t="str">
        <v>Not independently content-verified</v>
      </c>
      <c r="E86" s="2" t="str">
        <v>2026-09-14</v>
      </c>
    </row>
    <row r="87" ht="48" customHeight="1">
      <c r="A87" s="15" t="str">
        <v>https://www.digikey.com/en/products?keywords=220%20ohm%2C%201%25%2C%20%3E%3D0.1%20W%200603%20EIA</v>
      </c>
      <c r="B87" s="2" t="n">
        <v>403</v>
      </c>
      <c r="C87" s="2" t="str">
        <v>Blocked automated check</v>
      </c>
      <c r="D87" s="2" t="str">
        <v>Not independently content-verified</v>
      </c>
      <c r="E87" s="2" t="str">
        <v>2026-09-14</v>
      </c>
    </row>
    <row r="88" ht="48" customHeight="1">
      <c r="A88" s="15" t="str">
        <v>https://www.digikey.com/en/products?keywords=220n</v>
      </c>
      <c r="B88" s="2" t="n">
        <v>403</v>
      </c>
      <c r="C88" s="2" t="str">
        <v>Blocked automated check</v>
      </c>
      <c r="D88" s="2" t="str">
        <v>Not independently content-verified</v>
      </c>
      <c r="E88" s="2" t="str">
        <v>2026-09-14</v>
      </c>
    </row>
    <row r="89" ht="48" customHeight="1">
      <c r="A89" s="15" t="str">
        <v>https://www.digikey.com/en/products?keywords=220p</v>
      </c>
      <c r="B89" s="2" t="n">
        <v>403</v>
      </c>
      <c r="C89" s="2" t="str">
        <v>Blocked automated check</v>
      </c>
      <c r="D89" s="2" t="str">
        <v>Not independently content-verified</v>
      </c>
      <c r="E89" s="2" t="str">
        <v>2026-09-14</v>
      </c>
    </row>
    <row r="90" ht="48" customHeight="1">
      <c r="A90" s="15" t="str">
        <v>https://www.digikey.com/en/products?keywords=22k%20ohm%2C%201%25%2C%20%3E%3D0.1%20W%200603%20EIA</v>
      </c>
      <c r="B90" s="2" t="n">
        <v>403</v>
      </c>
      <c r="C90" s="2" t="str">
        <v>Blocked automated check</v>
      </c>
      <c r="D90" s="2" t="str">
        <v>Not independently content-verified</v>
      </c>
      <c r="E90" s="2" t="str">
        <v>2026-09-14</v>
      </c>
    </row>
    <row r="91" ht="48" customHeight="1">
      <c r="A91" s="15" t="str">
        <v>https://www.digikey.com/en/products?keywords=22u</v>
      </c>
      <c r="B91" s="2" t="n">
        <v>403</v>
      </c>
      <c r="C91" s="2" t="str">
        <v>Blocked automated check</v>
      </c>
      <c r="D91" s="2" t="str">
        <v>Not independently content-verified</v>
      </c>
      <c r="E91" s="2" t="str">
        <v>2026-09-14</v>
      </c>
    </row>
    <row r="92" ht="48" customHeight="1">
      <c r="A92" s="15" t="str">
        <v>https://www.digikey.com/en/products?keywords=2337992-8</v>
      </c>
      <c r="B92" s="2" t="n">
        <v>403</v>
      </c>
      <c r="C92" s="2" t="str">
        <v>Blocked automated check</v>
      </c>
      <c r="D92" s="2" t="str">
        <v>Not independently content-verified</v>
      </c>
      <c r="E92" s="2" t="str">
        <v>2026-09-14</v>
      </c>
    </row>
    <row r="93" ht="48" customHeight="1">
      <c r="A93" s="15" t="str">
        <v>https://www.digikey.com/en/products?keywords=24k</v>
      </c>
      <c r="B93" s="2" t="n">
        <v>403</v>
      </c>
      <c r="C93" s="2" t="str">
        <v>Blocked automated check</v>
      </c>
      <c r="D93" s="2" t="str">
        <v>Not independently content-verified</v>
      </c>
      <c r="E93" s="2" t="str">
        <v>2026-09-14</v>
      </c>
    </row>
    <row r="94" ht="48" customHeight="1">
      <c r="A94" s="15" t="str">
        <v>https://www.digikey.com/en/products?keywords=270</v>
      </c>
      <c r="B94" s="2" t="n">
        <v>403</v>
      </c>
      <c r="C94" s="2" t="str">
        <v>Blocked automated check</v>
      </c>
      <c r="D94" s="2" t="str">
        <v>Not independently content-verified</v>
      </c>
      <c r="E94" s="2" t="str">
        <v>2026-09-14</v>
      </c>
    </row>
    <row r="95" ht="48" customHeight="1">
      <c r="A95" s="15" t="str">
        <v>https://www.digikey.com/en/products?keywords=27p</v>
      </c>
      <c r="B95" s="2" t="n">
        <v>403</v>
      </c>
      <c r="C95" s="2" t="str">
        <v>Blocked automated check</v>
      </c>
      <c r="D95" s="2" t="str">
        <v>Not independently content-verified</v>
      </c>
      <c r="E95" s="2" t="str">
        <v>2026-09-14</v>
      </c>
    </row>
    <row r="96" ht="48" customHeight="1">
      <c r="A96" s="15" t="str">
        <v>https://www.digikey.com/en/products?keywords=2k</v>
      </c>
      <c r="B96" s="2" t="n">
        <v>403</v>
      </c>
      <c r="C96" s="2" t="str">
        <v>Blocked automated check</v>
      </c>
      <c r="D96" s="2" t="str">
        <v>Not independently content-verified</v>
      </c>
      <c r="E96" s="2" t="str">
        <v>2026-09-14</v>
      </c>
    </row>
    <row r="97" ht="48" customHeight="1">
      <c r="A97" s="15" t="str">
        <v>https://www.digikey.com/en/products?keywords=2k2</v>
      </c>
      <c r="B97" s="2" t="n">
        <v>403</v>
      </c>
      <c r="C97" s="2" t="str">
        <v>Blocked automated check</v>
      </c>
      <c r="D97" s="2" t="str">
        <v>Not independently content-verified</v>
      </c>
      <c r="E97" s="2" t="str">
        <v>2026-09-14</v>
      </c>
    </row>
    <row r="98" ht="48" customHeight="1">
      <c r="A98" s="15" t="str">
        <v>https://www.digikey.com/en/products?keywords=2u2</v>
      </c>
      <c r="B98" s="2" t="n">
        <v>403</v>
      </c>
      <c r="C98" s="2" t="str">
        <v>Blocked automated check</v>
      </c>
      <c r="D98" s="2" t="str">
        <v>Not independently content-verified</v>
      </c>
      <c r="E98" s="2" t="str">
        <v>2026-09-14</v>
      </c>
    </row>
    <row r="99" ht="48" customHeight="1">
      <c r="A99" s="15" t="str">
        <v>https://www.digikey.com/en/products?keywords=3.3k%20ohm%2C%201%25%2C%20%3E%3D0.1%20W%200603%20EIA</v>
      </c>
      <c r="B99" s="2" t="n">
        <v>403</v>
      </c>
      <c r="C99" s="2" t="str">
        <v>Blocked automated check</v>
      </c>
      <c r="D99" s="2" t="str">
        <v>Not independently content-verified</v>
      </c>
      <c r="E99" s="2" t="str">
        <v>2026-09-14</v>
      </c>
    </row>
    <row r="100" ht="48" customHeight="1">
      <c r="A100" s="15" t="str">
        <v>https://www.digikey.com/en/products?keywords=30k</v>
      </c>
      <c r="B100" s="2" t="n">
        <v>403</v>
      </c>
      <c r="C100" s="2" t="str">
        <v>Blocked automated check</v>
      </c>
      <c r="D100" s="2" t="str">
        <v>Not independently content-verified</v>
      </c>
      <c r="E100" s="2" t="str">
        <v>2026-09-14</v>
      </c>
    </row>
    <row r="101" ht="48" customHeight="1">
      <c r="A101" s="15" t="str">
        <v>https://www.digikey.com/en/products?keywords=33%20ohm%2C%201%25%2C%20%3E%3D0.1%20W%200603%20EIA</v>
      </c>
      <c r="B101" s="2" t="n">
        <v>403</v>
      </c>
      <c r="C101" s="2" t="str">
        <v>Blocked automated check</v>
      </c>
      <c r="D101" s="2" t="str">
        <v>Not independently content-verified</v>
      </c>
      <c r="E101" s="2" t="str">
        <v>2026-09-14</v>
      </c>
    </row>
    <row r="102" ht="48" customHeight="1">
      <c r="A102" s="15" t="str">
        <v>https://www.digikey.com/en/products?keywords=330%20ohm%2C%201%25%2C%20%3E%3D0.1%20W%200603%20EIA</v>
      </c>
      <c r="B102" s="2" t="n">
        <v>403</v>
      </c>
      <c r="C102" s="2" t="str">
        <v>Blocked automated check</v>
      </c>
      <c r="D102" s="2" t="str">
        <v>Not independently content-verified</v>
      </c>
      <c r="E102" s="2" t="str">
        <v>2026-09-14</v>
      </c>
    </row>
    <row r="103" ht="48" customHeight="1">
      <c r="A103" s="15" t="str">
        <v>https://www.digikey.com/en/products?keywords=330k</v>
      </c>
      <c r="B103" s="2" t="n">
        <v>403</v>
      </c>
      <c r="C103" s="2" t="str">
        <v>Blocked automated check</v>
      </c>
      <c r="D103" s="2" t="str">
        <v>Not independently content-verified</v>
      </c>
      <c r="E103" s="2" t="str">
        <v>2026-09-14</v>
      </c>
    </row>
    <row r="104" ht="48" customHeight="1">
      <c r="A104" s="15" t="str">
        <v>https://www.digikey.com/en/products?keywords=330p</v>
      </c>
      <c r="B104" s="2" t="n">
        <v>403</v>
      </c>
      <c r="C104" s="2" t="str">
        <v>Blocked automated check</v>
      </c>
      <c r="D104" s="2" t="str">
        <v>Not independently content-verified</v>
      </c>
      <c r="E104" s="2" t="str">
        <v>2026-09-14</v>
      </c>
    </row>
    <row r="105" ht="48" customHeight="1">
      <c r="A105" s="15" t="str">
        <v>https://www.digikey.com/en/products?keywords=36103255S</v>
      </c>
      <c r="B105" s="2" t="n">
        <v>403</v>
      </c>
      <c r="C105" s="2" t="str">
        <v>Blocked automated check</v>
      </c>
      <c r="D105" s="2" t="str">
        <v>Not independently content-verified</v>
      </c>
      <c r="E105" s="2" t="str">
        <v>2026-09-14</v>
      </c>
    </row>
    <row r="106" ht="48" customHeight="1">
      <c r="A106" s="15" t="str">
        <v>https://www.digikey.com/en/products?keywords=4.7%20uF%20X7R%2016%20V%2010%25%200805%20EIA</v>
      </c>
      <c r="B106" s="2" t="n">
        <v>403</v>
      </c>
      <c r="C106" s="2" t="str">
        <v>Blocked automated check</v>
      </c>
      <c r="D106" s="2" t="str">
        <v>Not independently content-verified</v>
      </c>
      <c r="E106" s="2" t="str">
        <v>2026-09-14</v>
      </c>
    </row>
    <row r="107" ht="48" customHeight="1">
      <c r="A107" s="15" t="str">
        <v>https://www.digikey.com/en/products?keywords=4.7k%20ohm%2C%201%25%2C%20%3E%3D0.0625%20W%200402%20EIA</v>
      </c>
      <c r="B107" s="2" t="n">
        <v>403</v>
      </c>
      <c r="C107" s="2" t="str">
        <v>Blocked automated check</v>
      </c>
      <c r="D107" s="2" t="str">
        <v>Not independently content-verified</v>
      </c>
      <c r="E107" s="2" t="str">
        <v>2026-09-14</v>
      </c>
    </row>
    <row r="108" ht="48" customHeight="1">
      <c r="A108" s="15" t="str">
        <v>https://www.digikey.com/en/products?keywords=4.7k%20ohm%2C%201%25%2C%20%3E%3D0.1%20W%200603%20EIA</v>
      </c>
      <c r="B108" s="2" t="n">
        <v>403</v>
      </c>
      <c r="C108" s="2" t="str">
        <v>Blocked automated check</v>
      </c>
      <c r="D108" s="2" t="str">
        <v>Not independently content-verified</v>
      </c>
      <c r="E108" s="2" t="str">
        <v>2026-09-14</v>
      </c>
    </row>
    <row r="109" ht="48" customHeight="1">
      <c r="A109" s="15" t="str">
        <v>https://www.digikey.com/en/products?keywords=47%20ohm%2C%201%25%2C%20%3E%3D0.1%20W%200603%20EIA</v>
      </c>
      <c r="B109" s="2" t="n">
        <v>403</v>
      </c>
      <c r="C109" s="2" t="str">
        <v>Blocked automated check</v>
      </c>
      <c r="D109" s="2" t="str">
        <v>Not independently content-verified</v>
      </c>
      <c r="E109" s="2" t="str">
        <v>2026-09-14</v>
      </c>
    </row>
    <row r="110" ht="48" customHeight="1">
      <c r="A110" s="15" t="str">
        <v>https://www.digikey.com/en/products?keywords=47%20pF%20C0G%2050%20V%205%25%200603%20EIA</v>
      </c>
      <c r="B110" s="2" t="n">
        <v>403</v>
      </c>
      <c r="C110" s="2" t="str">
        <v>Blocked automated check</v>
      </c>
      <c r="D110" s="2" t="str">
        <v>Not independently content-verified</v>
      </c>
      <c r="E110" s="2" t="str">
        <v>2026-09-14</v>
      </c>
    </row>
    <row r="111" ht="48" customHeight="1">
      <c r="A111" s="15" t="str">
        <v>https://www.digikey.com/en/products?keywords=470%20ohm%2C%201%25%2C%20%3E%3D0.1%20W%200603%20EIA</v>
      </c>
      <c r="B111" s="2" t="n">
        <v>403</v>
      </c>
      <c r="C111" s="2" t="str">
        <v>Blocked automated check</v>
      </c>
      <c r="D111" s="2" t="str">
        <v>Not independently content-verified</v>
      </c>
      <c r="E111" s="2" t="str">
        <v>2026-09-14</v>
      </c>
    </row>
    <row r="112" ht="48" customHeight="1">
      <c r="A112" s="15" t="str">
        <v>https://www.digikey.com/en/products?keywords=470k</v>
      </c>
      <c r="B112" s="2" t="n">
        <v>403</v>
      </c>
      <c r="C112" s="2" t="str">
        <v>Blocked automated check</v>
      </c>
      <c r="D112" s="2" t="str">
        <v>Not independently content-verified</v>
      </c>
      <c r="E112" s="2" t="str">
        <v>2026-09-14</v>
      </c>
    </row>
    <row r="113" ht="48" customHeight="1">
      <c r="A113" s="15" t="str">
        <v>https://www.digikey.com/en/products?keywords=470n</v>
      </c>
      <c r="B113" s="2" t="n">
        <v>403</v>
      </c>
      <c r="C113" s="2" t="str">
        <v>Blocked automated check</v>
      </c>
      <c r="D113" s="2" t="str">
        <v>Not independently content-verified</v>
      </c>
      <c r="E113" s="2" t="str">
        <v>2026-09-14</v>
      </c>
    </row>
    <row r="114" ht="48" customHeight="1">
      <c r="A114" s="15" t="str">
        <v>https://www.digikey.com/en/products?keywords=47k</v>
      </c>
      <c r="B114" s="2" t="n">
        <v>403</v>
      </c>
      <c r="C114" s="2" t="str">
        <v>Blocked automated check</v>
      </c>
      <c r="D114" s="2" t="str">
        <v>Not independently content-verified</v>
      </c>
      <c r="E114" s="2" t="str">
        <v>2026-09-14</v>
      </c>
    </row>
    <row r="115" ht="48" customHeight="1">
      <c r="A115" s="15" t="str">
        <v>https://www.digikey.com/en/products?keywords=47k%201%25</v>
      </c>
      <c r="B115" s="2" t="n">
        <v>403</v>
      </c>
      <c r="C115" s="2" t="str">
        <v>Blocked automated check</v>
      </c>
      <c r="D115" s="2" t="str">
        <v>Not independently content-verified</v>
      </c>
      <c r="E115" s="2" t="str">
        <v>2026-09-14</v>
      </c>
    </row>
    <row r="116" ht="48" customHeight="1">
      <c r="A116" s="15" t="str">
        <v>https://www.digikey.com/en/products?keywords=47k%20ohm%2C%201%25%2C%20%3E%3D0.1%20W%200603%20EIA</v>
      </c>
      <c r="B116" s="2" t="n">
        <v>403</v>
      </c>
      <c r="C116" s="2" t="str">
        <v>Blocked automated check</v>
      </c>
      <c r="D116" s="2" t="str">
        <v>Not independently content-verified</v>
      </c>
      <c r="E116" s="2" t="str">
        <v>2026-09-14</v>
      </c>
    </row>
    <row r="117" ht="48" customHeight="1">
      <c r="A117" s="15" t="str">
        <v>https://www.digikey.com/en/products?keywords=47u</v>
      </c>
      <c r="B117" s="2" t="n">
        <v>403</v>
      </c>
      <c r="C117" s="2" t="str">
        <v>Blocked automated check</v>
      </c>
      <c r="D117" s="2" t="str">
        <v>Not independently content-verified</v>
      </c>
      <c r="E117" s="2" t="str">
        <v>2026-09-14</v>
      </c>
    </row>
    <row r="118" ht="48" customHeight="1">
      <c r="A118" s="15" t="str">
        <v>https://www.digikey.com/en/products?keywords=49.9%20ohm%2C%201%25%2C%20%3E%3D0.1%20W%200603%20EIA</v>
      </c>
      <c r="B118" s="2" t="n">
        <v>403</v>
      </c>
      <c r="C118" s="2" t="str">
        <v>Blocked automated check</v>
      </c>
      <c r="D118" s="2" t="str">
        <v>Not independently content-verified</v>
      </c>
      <c r="E118" s="2" t="str">
        <v>2026-09-14</v>
      </c>
    </row>
    <row r="119" ht="48" customHeight="1">
      <c r="A119" s="15" t="str">
        <v>https://www.digikey.com/en/products?keywords=4u7</v>
      </c>
      <c r="B119" s="2" t="n">
        <v>403</v>
      </c>
      <c r="C119" s="2" t="str">
        <v>Blocked automated check</v>
      </c>
      <c r="D119" s="2" t="str">
        <v>Not independently content-verified</v>
      </c>
      <c r="E119" s="2" t="str">
        <v>2026-09-14</v>
      </c>
    </row>
    <row r="120" ht="48" customHeight="1">
      <c r="A120" s="15" t="str">
        <v>https://www.digikey.com/en/products?keywords=5.1k</v>
      </c>
      <c r="B120" s="2" t="n">
        <v>403</v>
      </c>
      <c r="C120" s="2" t="str">
        <v>Blocked automated check</v>
      </c>
      <c r="D120" s="2" t="str">
        <v>Not independently content-verified</v>
      </c>
      <c r="E120" s="2" t="str">
        <v>2026-09-14</v>
      </c>
    </row>
    <row r="121" ht="48" customHeight="1">
      <c r="A121" s="15" t="str">
        <v>https://www.digikey.com/en/products?keywords=533980471</v>
      </c>
      <c r="B121" s="2" t="n">
        <v>403</v>
      </c>
      <c r="C121" s="2" t="str">
        <v>Blocked automated check</v>
      </c>
      <c r="D121" s="2" t="str">
        <v>Not independently content-verified</v>
      </c>
      <c r="E121" s="2" t="str">
        <v>2026-09-14</v>
      </c>
    </row>
    <row r="122" ht="48" customHeight="1">
      <c r="A122" s="15" t="str">
        <v>https://www.digikey.com/en/products?keywords=6.8k%20ohm%2C%201%25%2C%20%3E%3D0.1%20W%200603%20EIA</v>
      </c>
      <c r="B122" s="2" t="n">
        <v>403</v>
      </c>
      <c r="C122" s="2" t="str">
        <v>Blocked automated check</v>
      </c>
      <c r="D122" s="2" t="str">
        <v>Not independently content-verified</v>
      </c>
      <c r="E122" s="2" t="str">
        <v>2026-09-14</v>
      </c>
    </row>
    <row r="123" ht="48" customHeight="1">
      <c r="A123" s="15" t="str">
        <v>https://www.digikey.com/en/products?keywords=74LVC1T45DW-7</v>
      </c>
      <c r="B123" s="2" t="n">
        <v>403</v>
      </c>
      <c r="C123" s="2" t="str">
        <v>Blocked automated check</v>
      </c>
      <c r="D123" s="2" t="str">
        <v>Not independently content-verified</v>
      </c>
      <c r="E123" s="2" t="str">
        <v>2026-09-14</v>
      </c>
    </row>
    <row r="124" ht="48" customHeight="1">
      <c r="A124" s="15" t="str">
        <v>https://www.digikey.com/en/products?keywords=78800-0001</v>
      </c>
      <c r="B124" s="2" t="n">
        <v>403</v>
      </c>
      <c r="C124" s="2" t="str">
        <v>Blocked automated check</v>
      </c>
      <c r="D124" s="2" t="str">
        <v>Not independently content-verified</v>
      </c>
      <c r="E124" s="2" t="str">
        <v>2026-09-14</v>
      </c>
    </row>
    <row r="125" ht="48" customHeight="1">
      <c r="A125" s="15" t="str">
        <v>https://www.digikey.com/en/products?keywords=820p</v>
      </c>
      <c r="B125" s="2" t="n">
        <v>403</v>
      </c>
      <c r="C125" s="2" t="str">
        <v>Blocked automated check</v>
      </c>
      <c r="D125" s="2" t="str">
        <v>Not independently content-verified</v>
      </c>
      <c r="E125" s="2" t="str">
        <v>2026-09-14</v>
      </c>
    </row>
    <row r="126" ht="48" customHeight="1">
      <c r="A126" s="15" t="str">
        <v>https://www.digikey.com/en/products?keywords=8k</v>
      </c>
      <c r="B126" s="2" t="n">
        <v>403</v>
      </c>
      <c r="C126" s="2" t="str">
        <v>Blocked automated check</v>
      </c>
      <c r="D126" s="2" t="str">
        <v>Not independently content-verified</v>
      </c>
      <c r="E126" s="2" t="str">
        <v>2026-09-14</v>
      </c>
    </row>
    <row r="127" ht="48" customHeight="1">
      <c r="A127" s="15" t="str">
        <v>https://www.digikey.com/en/products?keywords=90120-0123</v>
      </c>
      <c r="B127" s="2" t="n">
        <v>403</v>
      </c>
      <c r="C127" s="2" t="str">
        <v>Blocked automated check</v>
      </c>
      <c r="D127" s="2" t="str">
        <v>Not independently content-verified</v>
      </c>
      <c r="E127" s="2" t="str">
        <v>2026-09-14</v>
      </c>
    </row>
    <row r="128" ht="48" customHeight="1">
      <c r="A128" s="15" t="str">
        <v>https://www.digikey.com/en/products?keywords=93AA66C-I%2FSN</v>
      </c>
      <c r="B128" s="2" t="n">
        <v>403</v>
      </c>
      <c r="C128" s="2" t="str">
        <v>Blocked automated check</v>
      </c>
      <c r="D128" s="2" t="str">
        <v>Not independently content-verified</v>
      </c>
      <c r="E128" s="2" t="str">
        <v>2026-09-14</v>
      </c>
    </row>
    <row r="129" ht="48" customHeight="1">
      <c r="A129" s="15" t="str">
        <v>https://www.digikey.com/en/products?keywords=AMS1117-1.2</v>
      </c>
      <c r="B129" s="2" t="n">
        <v>403</v>
      </c>
      <c r="C129" s="2" t="str">
        <v>Blocked automated check</v>
      </c>
      <c r="D129" s="2" t="str">
        <v>Not independently content-verified</v>
      </c>
      <c r="E129" s="2" t="str">
        <v>2026-09-14</v>
      </c>
    </row>
    <row r="130" ht="48" customHeight="1">
      <c r="A130" s="15" t="str">
        <v>https://www.digikey.com/en/products?keywords=AMS1117-3.3</v>
      </c>
      <c r="B130" s="2" t="n">
        <v>403</v>
      </c>
      <c r="C130" s="2" t="str">
        <v>Blocked automated check</v>
      </c>
      <c r="D130" s="2" t="str">
        <v>Not independently content-verified</v>
      </c>
      <c r="E130" s="2" t="str">
        <v>2026-09-14</v>
      </c>
    </row>
    <row r="131" ht="48" customHeight="1">
      <c r="A131" s="15" t="str">
        <v>https://www.digikey.com/en/products?keywords=AP64501SP-13</v>
      </c>
      <c r="B131" s="2" t="n">
        <v>403</v>
      </c>
      <c r="C131" s="2" t="str">
        <v>Blocked automated check</v>
      </c>
      <c r="D131" s="2" t="str">
        <v>Not independently content-verified</v>
      </c>
      <c r="E131" s="2" t="str">
        <v>2026-09-14</v>
      </c>
    </row>
    <row r="132" ht="48" customHeight="1">
      <c r="A132" s="15" t="str">
        <v>https://www.digikey.com/en/products?keywords=BM04B-GHS-TBT%28LF%29%28SN%29</v>
      </c>
      <c r="B132" s="2" t="n">
        <v>403</v>
      </c>
      <c r="C132" s="2" t="str">
        <v>Blocked automated check</v>
      </c>
      <c r="D132" s="2" t="str">
        <v>Not independently content-verified</v>
      </c>
      <c r="E132" s="2" t="str">
        <v>2026-09-14</v>
      </c>
    </row>
    <row r="133" ht="48" customHeight="1">
      <c r="A133" s="15" t="str">
        <v>https://www.digikey.com/en/products?keywords=BM06B-GHS-TBT%28LF%29%28SN%29</v>
      </c>
      <c r="B133" s="2" t="n">
        <v>403</v>
      </c>
      <c r="C133" s="2" t="str">
        <v>Blocked automated check</v>
      </c>
      <c r="D133" s="2" t="str">
        <v>Not independently content-verified</v>
      </c>
      <c r="E133" s="2" t="str">
        <v>2026-09-14</v>
      </c>
    </row>
    <row r="134" ht="48" customHeight="1">
      <c r="A134" s="15" t="str">
        <v>https://www.digikey.com/en/products?keywords=BM07B-GHS-TBT%20%28LF%29%28SN%29</v>
      </c>
      <c r="B134" s="2" t="n">
        <v>403</v>
      </c>
      <c r="C134" s="2" t="str">
        <v>Blocked automated check</v>
      </c>
      <c r="D134" s="2" t="str">
        <v>Not independently content-verified</v>
      </c>
      <c r="E134" s="2" t="str">
        <v>2026-09-14</v>
      </c>
    </row>
    <row r="135" ht="48" customHeight="1">
      <c r="A135" s="15" t="str">
        <v>https://www.digikey.com/en/products?keywords=BM09B-GHS-TBT%28LF%29%28SN%29%28N%29</v>
      </c>
      <c r="B135" s="2" t="n">
        <v>403</v>
      </c>
      <c r="C135" s="2" t="str">
        <v>Blocked automated check</v>
      </c>
      <c r="D135" s="2" t="str">
        <v>Not independently content-verified</v>
      </c>
      <c r="E135" s="2" t="str">
        <v>2026-09-14</v>
      </c>
    </row>
    <row r="136" ht="48" customHeight="1">
      <c r="A136" s="15" t="str">
        <v>https://www.digikey.com/en/products?keywords=BM20B-SRDS-G-TF%28LF%29%28SN%29</v>
      </c>
      <c r="B136" s="2" t="n">
        <v>403</v>
      </c>
      <c r="C136" s="2" t="str">
        <v>Blocked automated check</v>
      </c>
      <c r="D136" s="2" t="str">
        <v>Not independently content-verified</v>
      </c>
      <c r="E136" s="2" t="str">
        <v>2026-09-14</v>
      </c>
    </row>
    <row r="137" ht="48" customHeight="1">
      <c r="A137" s="15" t="str">
        <v>https://www.digikey.com/en/products?keywords=BMI088</v>
      </c>
      <c r="B137" s="2" t="n">
        <v>403</v>
      </c>
      <c r="C137" s="2" t="str">
        <v>Blocked automated check</v>
      </c>
      <c r="D137" s="2" t="str">
        <v>Not independently content-verified</v>
      </c>
      <c r="E137" s="2" t="str">
        <v>2026-09-14</v>
      </c>
    </row>
    <row r="138" ht="48" customHeight="1">
      <c r="A138" s="15" t="str">
        <v>https://www.digikey.com/en/products?keywords=Bench%20DC%20power%20supply</v>
      </c>
      <c r="B138" s="2" t="n">
        <v>403</v>
      </c>
      <c r="C138" s="2" t="str">
        <v>Blocked automated check</v>
      </c>
      <c r="D138" s="2" t="str">
        <v>Not independently content-verified</v>
      </c>
      <c r="E138" s="2" t="str">
        <v>2026-09-14</v>
      </c>
    </row>
    <row r="139" ht="48" customHeight="1">
      <c r="A139" s="15" t="str">
        <v>https://www.digikey.com/en/products?keywords=Blue%20indicator%20LED%200603%20EIA</v>
      </c>
      <c r="B139" s="2" t="n">
        <v>403</v>
      </c>
      <c r="C139" s="2" t="str">
        <v>Blocked automated check</v>
      </c>
      <c r="D139" s="2" t="str">
        <v>Not independently content-verified</v>
      </c>
      <c r="E139" s="2" t="str">
        <v>2026-09-14</v>
      </c>
    </row>
    <row r="140" ht="48" customHeight="1">
      <c r="A140" s="15" t="str">
        <v>https://www.digikey.com/en/products?keywords=Buck%20regulator%20circuit%20kit%20Select%20platform</v>
      </c>
      <c r="B140" s="2" t="n">
        <v>403</v>
      </c>
      <c r="C140" s="2" t="str">
        <v>Blocked automated check</v>
      </c>
      <c r="D140" s="2" t="str">
        <v>Not independently content-verified</v>
      </c>
      <c r="E140" s="2" t="str">
        <v>2026-09-14</v>
      </c>
    </row>
    <row r="141" ht="48" customHeight="1">
      <c r="A141" s="15" t="str">
        <v>https://www.digikey.com/en/products?keywords=Bulk%20aluminum%20capacitor%20Circuit-dependent</v>
      </c>
      <c r="B141" s="2" t="n">
        <v>403</v>
      </c>
      <c r="C141" s="2" t="str">
        <v>Blocked automated check</v>
      </c>
      <c r="D141" s="2" t="str">
        <v>Not independently content-verified</v>
      </c>
      <c r="E141" s="2" t="str">
        <v>2026-09-14</v>
      </c>
    </row>
    <row r="142" ht="48" customHeight="1">
      <c r="A142" s="15" t="str">
        <v>https://www.digikey.com/en/products?keywords=CSS2725FTL250</v>
      </c>
      <c r="B142" s="2" t="n">
        <v>403</v>
      </c>
      <c r="C142" s="2" t="str">
        <v>Blocked automated check</v>
      </c>
      <c r="D142" s="2" t="str">
        <v>Not independently content-verified</v>
      </c>
      <c r="E142" s="2" t="str">
        <v>2026-09-14</v>
      </c>
    </row>
    <row r="143" ht="48" customHeight="1">
      <c r="A143" s="15" t="str">
        <v>https://www.digikey.com/en/products?keywords=Component%20label%20printer</v>
      </c>
      <c r="B143" s="2" t="n">
        <v>403</v>
      </c>
      <c r="C143" s="2" t="str">
        <v>Blocked automated check</v>
      </c>
      <c r="D143" s="2" t="str">
        <v>Not independently content-verified</v>
      </c>
      <c r="E143" s="2" t="str">
        <v>2026-09-14</v>
      </c>
    </row>
    <row r="144" ht="48" customHeight="1">
      <c r="A144" s="15" t="str">
        <v>https://www.digikey.com/en/products?keywords=Crystal%20or%20oscillator%20Select%20platform</v>
      </c>
      <c r="B144" s="2" t="n">
        <v>403</v>
      </c>
      <c r="C144" s="2" t="str">
        <v>Blocked automated check</v>
      </c>
      <c r="D144" s="2" t="str">
        <v>Not independently content-verified</v>
      </c>
      <c r="E144" s="2" t="str">
        <v>2026-09-14</v>
      </c>
    </row>
    <row r="145" ht="48" customHeight="1">
      <c r="A145" s="15" t="str">
        <v>https://www.digikey.com/en/products?keywords=Cut-tape%20fixture</v>
      </c>
      <c r="B145" s="2" t="n">
        <v>403</v>
      </c>
      <c r="C145" s="2" t="str">
        <v>Blocked automated check</v>
      </c>
      <c r="D145" s="2" t="str">
        <v>Not independently content-verified</v>
      </c>
      <c r="E145" s="2" t="str">
        <v>2026-09-14</v>
      </c>
    </row>
    <row r="146" ht="48" customHeight="1">
      <c r="A146" s="15" t="str">
        <v>https://www.digikey.com/en/products?keywords=DCJ0202</v>
      </c>
      <c r="B146" s="2" t="n">
        <v>403</v>
      </c>
      <c r="C146" s="2" t="str">
        <v>Blocked automated check</v>
      </c>
      <c r="D146" s="2" t="str">
        <v>Not independently content-verified</v>
      </c>
      <c r="E146" s="2" t="str">
        <v>2026-09-14</v>
      </c>
    </row>
    <row r="147" ht="48" customHeight="1">
      <c r="A147" s="15" t="str">
        <v>https://www.digikey.com/en/products?keywords=DDR4%20SODIMM%20260P</v>
      </c>
      <c r="B147" s="2" t="n">
        <v>403</v>
      </c>
      <c r="C147" s="2" t="str">
        <v>Blocked automated check</v>
      </c>
      <c r="D147" s="2" t="str">
        <v>Not independently content-verified</v>
      </c>
      <c r="E147" s="2" t="str">
        <v>2026-09-14</v>
      </c>
    </row>
    <row r="148" ht="48" customHeight="1">
      <c r="A148" s="15" t="str">
        <v>https://www.digikey.com/en/products?keywords=DEA162500LT-1217A1</v>
      </c>
      <c r="B148" s="2" t="n">
        <v>403</v>
      </c>
      <c r="C148" s="2" t="str">
        <v>Blocked automated check</v>
      </c>
      <c r="D148" s="2" t="str">
        <v>Not independently content-verified</v>
      </c>
      <c r="E148" s="2" t="str">
        <v>2026-09-14</v>
      </c>
    </row>
    <row r="149" ht="48" customHeight="1">
      <c r="A149" s="15" t="str">
        <v>https://www.digikey.com/en/products?keywords=DW1000-I-TR13</v>
      </c>
      <c r="B149" s="2" t="n">
        <v>403</v>
      </c>
      <c r="C149" s="2" t="str">
        <v>Blocked automated check</v>
      </c>
      <c r="D149" s="2" t="str">
        <v>Not independently content-verified</v>
      </c>
      <c r="E149" s="2" t="str">
        <v>2026-09-14</v>
      </c>
    </row>
    <row r="150" ht="48" customHeight="1">
      <c r="A150" s="15" t="str">
        <v>https://www.digikey.com/en/products?keywords=Digital%20multimeter</v>
      </c>
      <c r="B150" s="2" t="n">
        <v>403</v>
      </c>
      <c r="C150" s="2" t="str">
        <v>Blocked automated check</v>
      </c>
      <c r="D150" s="2" t="str">
        <v>Not independently content-verified</v>
      </c>
      <c r="E150" s="2" t="str">
        <v>2026-09-14</v>
      </c>
    </row>
    <row r="151" ht="48" customHeight="1">
      <c r="A151" s="15" t="str">
        <v>https://www.digikey.com/en/products?keywords=Dry%20cabinet</v>
      </c>
      <c r="B151" s="2" t="n">
        <v>403</v>
      </c>
      <c r="C151" s="2" t="str">
        <v>Blocked automated check</v>
      </c>
      <c r="D151" s="2" t="str">
        <v>Not independently content-verified</v>
      </c>
      <c r="E151" s="2" t="str">
        <v>2026-09-14</v>
      </c>
    </row>
    <row r="152" ht="48" customHeight="1">
      <c r="A152" s="15" t="str">
        <v>https://www.digikey.com/en/products?keywords=ESD%20component%20storage%20bins</v>
      </c>
      <c r="B152" s="2" t="n">
        <v>403</v>
      </c>
      <c r="C152" s="2" t="str">
        <v>Blocked automated check</v>
      </c>
      <c r="D152" s="2" t="str">
        <v>Not independently content-verified</v>
      </c>
      <c r="E152" s="2" t="str">
        <v>2026-09-14</v>
      </c>
    </row>
    <row r="153" ht="48" customHeight="1">
      <c r="A153" s="15" t="str">
        <v>https://www.digikey.com/en/products?keywords=ESD%20mat%20and%20wrist%20strap%20kit</v>
      </c>
      <c r="B153" s="2" t="n">
        <v>403</v>
      </c>
      <c r="C153" s="2" t="str">
        <v>Blocked automated check</v>
      </c>
      <c r="D153" s="2" t="str">
        <v>Not independently content-verified</v>
      </c>
      <c r="E153" s="2" t="str">
        <v>2026-09-14</v>
      </c>
    </row>
    <row r="154" ht="48" customHeight="1">
      <c r="A154" s="15" t="str">
        <v>https://www.digikey.com/en/products?keywords=ESD%20tweezers</v>
      </c>
      <c r="B154" s="2" t="n">
        <v>403</v>
      </c>
      <c r="C154" s="2" t="str">
        <v>Blocked automated check</v>
      </c>
      <c r="D154" s="2" t="str">
        <v>Not independently content-verified</v>
      </c>
      <c r="E154" s="2" t="str">
        <v>2026-09-14</v>
      </c>
    </row>
    <row r="155" ht="48" customHeight="1">
      <c r="A155" s="15" t="str">
        <v>https://www.digikey.com/en/products?keywords=Electronic%20load</v>
      </c>
      <c r="B155" s="2" t="n">
        <v>403</v>
      </c>
      <c r="C155" s="2" t="str">
        <v>Blocked automated check</v>
      </c>
      <c r="D155" s="2" t="str">
        <v>Not independently content-verified</v>
      </c>
      <c r="E155" s="2" t="str">
        <v>2026-09-14</v>
      </c>
    </row>
    <row r="156" ht="48" customHeight="1">
      <c r="A156" s="15" t="str">
        <v>https://www.digikey.com/en/products?keywords=Electronics%20cleaning%20wipes%20and%20solvent</v>
      </c>
      <c r="B156" s="2" t="n">
        <v>403</v>
      </c>
      <c r="C156" s="2" t="str">
        <v>Blocked automated check</v>
      </c>
      <c r="D156" s="2" t="str">
        <v>Not independently content-verified</v>
      </c>
      <c r="E156" s="2" t="str">
        <v>2026-09-14</v>
      </c>
    </row>
    <row r="157" ht="48" customHeight="1">
      <c r="A157" s="15" t="str">
        <v>https://www.digikey.com/en/products?keywords=FM25V01A-GTR</v>
      </c>
      <c r="B157" s="2" t="n">
        <v>403</v>
      </c>
      <c r="C157" s="2" t="str">
        <v>Blocked automated check</v>
      </c>
      <c r="D157" s="2" t="str">
        <v>Not independently content-verified</v>
      </c>
      <c r="E157" s="2" t="str">
        <v>2026-09-14</v>
      </c>
    </row>
    <row r="158" ht="48" customHeight="1">
      <c r="A158" s="15" t="str">
        <v>https://www.digikey.com/en/products?keywords=FNR6028S3R3NT</v>
      </c>
      <c r="B158" s="2" t="n">
        <v>403</v>
      </c>
      <c r="C158" s="2" t="str">
        <v>Blocked automated check</v>
      </c>
      <c r="D158" s="2" t="str">
        <v>Not independently content-verified</v>
      </c>
      <c r="E158" s="2" t="str">
        <v>2026-09-14</v>
      </c>
    </row>
    <row r="159" ht="48" customHeight="1">
      <c r="A159" s="15" t="str">
        <v>https://www.digikey.com/en/products?keywords=Fast%20small-signal%20diode%20Select%20package</v>
      </c>
      <c r="B159" s="2" t="n">
        <v>403</v>
      </c>
      <c r="C159" s="2" t="str">
        <v>Blocked automated check</v>
      </c>
      <c r="D159" s="2" t="str">
        <v>Not independently content-verified</v>
      </c>
      <c r="E159" s="2" t="str">
        <v>2026-09-14</v>
      </c>
    </row>
    <row r="160" ht="48" customHeight="1">
      <c r="A160" s="15" t="str">
        <v>https://www.digikey.com/en/products?keywords=Ferrite%20bead%20Circuit-dependent</v>
      </c>
      <c r="B160" s="2" t="n">
        <v>403</v>
      </c>
      <c r="C160" s="2" t="str">
        <v>Blocked automated check</v>
      </c>
      <c r="D160" s="2" t="str">
        <v>Not independently content-verified</v>
      </c>
      <c r="E160" s="2" t="str">
        <v>2026-09-14</v>
      </c>
    </row>
    <row r="161" ht="48" customHeight="1">
      <c r="A161" s="15" t="str">
        <v>https://www.digikey.com/en/products?keywords=Flux%20solder%20wick%20solder%20wire</v>
      </c>
      <c r="B161" s="2" t="n">
        <v>403</v>
      </c>
      <c r="C161" s="2" t="str">
        <v>Blocked automated check</v>
      </c>
      <c r="D161" s="2" t="str">
        <v>Not independently content-verified</v>
      </c>
      <c r="E161" s="2" t="str">
        <v>2026-09-14</v>
      </c>
    </row>
    <row r="162" ht="48" customHeight="1">
      <c r="A162" s="15" t="str">
        <v>https://www.digikey.com/en/products?keywords=Fume%20extraction</v>
      </c>
      <c r="B162" s="2" t="n">
        <v>403</v>
      </c>
      <c r="C162" s="2" t="str">
        <v>Blocked automated check</v>
      </c>
      <c r="D162" s="2" t="str">
        <v>Not independently content-verified</v>
      </c>
      <c r="E162" s="2" t="str">
        <v>2026-09-14</v>
      </c>
    </row>
    <row r="163" ht="48" customHeight="1">
      <c r="A163" s="15" t="str">
        <v>https://www.digikey.com/en/products?keywords=GREEN</v>
      </c>
      <c r="B163" s="2" t="n">
        <v>403</v>
      </c>
      <c r="C163" s="2" t="str">
        <v>Blocked automated check</v>
      </c>
      <c r="D163" s="2" t="str">
        <v>Not independently content-verified</v>
      </c>
      <c r="E163" s="2" t="str">
        <v>2026-09-14</v>
      </c>
    </row>
    <row r="164" ht="48" customHeight="1">
      <c r="A164" s="15" t="str">
        <v>https://www.digikey.com/en/products?keywords=Green%20indicator%20LED%200603%20EIA</v>
      </c>
      <c r="B164" s="2" t="n">
        <v>403</v>
      </c>
      <c r="C164" s="2" t="str">
        <v>Blocked automated check</v>
      </c>
      <c r="D164" s="2" t="str">
        <v>Not independently content-verified</v>
      </c>
      <c r="E164" s="2" t="str">
        <v>2026-09-14</v>
      </c>
    </row>
    <row r="165" ht="48" customHeight="1">
      <c r="A165" s="15" t="str">
        <v>https://www.digikey.com/en/products?keywords=HHM1595A1</v>
      </c>
      <c r="B165" s="2" t="n">
        <v>403</v>
      </c>
      <c r="C165" s="2" t="str">
        <v>Blocked automated check</v>
      </c>
      <c r="D165" s="2" t="str">
        <v>Not independently content-verified</v>
      </c>
      <c r="E165" s="2" t="str">
        <v>2026-09-14</v>
      </c>
    </row>
    <row r="166" ht="48" customHeight="1">
      <c r="A166" s="15" t="str">
        <v>https://www.digikey.com/en/products?keywords=Heat%20shrink%20assortment</v>
      </c>
      <c r="B166" s="2" t="n">
        <v>403</v>
      </c>
      <c r="C166" s="2" t="str">
        <v>Blocked automated check</v>
      </c>
      <c r="D166" s="2" t="str">
        <v>Not independently content-verified</v>
      </c>
      <c r="E166" s="2" t="str">
        <v>2026-09-14</v>
      </c>
    </row>
    <row r="167" ht="48" customHeight="1">
      <c r="A167" s="15" t="str">
        <v>https://www.digikey.com/en/products?keywords=Hook-up%20wire%20assortment</v>
      </c>
      <c r="B167" s="2" t="n">
        <v>403</v>
      </c>
      <c r="C167" s="2" t="str">
        <v>Blocked automated check</v>
      </c>
      <c r="D167" s="2" t="str">
        <v>Not independently content-verified</v>
      </c>
      <c r="E167" s="2" t="str">
        <v>2026-09-14</v>
      </c>
    </row>
    <row r="168" ht="48" customHeight="1">
      <c r="A168" s="15" t="str">
        <v>https://www.digikey.com/en/products?keywords=Hot%20air%20rework%20station</v>
      </c>
      <c r="B168" s="2" t="n">
        <v>403</v>
      </c>
      <c r="C168" s="2" t="str">
        <v>Blocked automated check</v>
      </c>
      <c r="D168" s="2" t="str">
        <v>Not independently content-verified</v>
      </c>
      <c r="E168" s="2" t="str">
        <v>2026-09-14</v>
      </c>
    </row>
    <row r="169" ht="48" customHeight="1">
      <c r="A169" s="15" t="str">
        <v>https://www.digikey.com/en/products?keywords=I2C%20EEPROM%20Select%20platform</v>
      </c>
      <c r="B169" s="2" t="n">
        <v>403</v>
      </c>
      <c r="C169" s="2" t="str">
        <v>Blocked automated check</v>
      </c>
      <c r="D169" s="2" t="str">
        <v>Not independently content-verified</v>
      </c>
      <c r="E169" s="2" t="str">
        <v>2026-09-14</v>
      </c>
    </row>
    <row r="170" ht="48" customHeight="1">
      <c r="A170" s="15" t="str">
        <v>https://www.digikey.com/en/products?keywords=I2C%20level%20translator%20Select%20platform</v>
      </c>
      <c r="B170" s="2" t="n">
        <v>403</v>
      </c>
      <c r="C170" s="2" t="str">
        <v>Blocked automated check</v>
      </c>
      <c r="D170" s="2" t="str">
        <v>Not independently content-verified</v>
      </c>
      <c r="E170" s="2" t="str">
        <v>2026-09-14</v>
      </c>
    </row>
    <row r="171" ht="48" customHeight="1">
      <c r="A171" s="15" t="str">
        <v>https://www.digikey.com/en/products?keywords=ICM-42688-P</v>
      </c>
      <c r="B171" s="2" t="n">
        <v>403</v>
      </c>
      <c r="C171" s="2" t="str">
        <v>Blocked automated check</v>
      </c>
      <c r="D171" s="2" t="str">
        <v>Not independently content-verified</v>
      </c>
      <c r="E171" s="2" t="str">
        <v>2026-09-14</v>
      </c>
    </row>
    <row r="172" ht="48" customHeight="1">
      <c r="A172" s="15" t="str">
        <v>https://www.digikey.com/en/products?keywords=IMU%20Select%20platform</v>
      </c>
      <c r="B172" s="2" t="n">
        <v>403</v>
      </c>
      <c r="C172" s="2" t="str">
        <v>Blocked automated check</v>
      </c>
      <c r="D172" s="2" t="str">
        <v>Not independently content-verified</v>
      </c>
      <c r="E172" s="2" t="str">
        <v>2026-09-14</v>
      </c>
    </row>
    <row r="173" ht="48" customHeight="1">
      <c r="A173" s="15" t="str">
        <v>https://www.digikey.com/en/products?keywords=INA180</v>
      </c>
      <c r="B173" s="2" t="n">
        <v>403</v>
      </c>
      <c r="C173" s="2" t="str">
        <v>Blocked automated check</v>
      </c>
      <c r="D173" s="2" t="str">
        <v>Not independently content-verified</v>
      </c>
      <c r="E173" s="2" t="str">
        <v>2026-09-14</v>
      </c>
    </row>
    <row r="174" ht="48" customHeight="1">
      <c r="A174" s="15" t="str">
        <v>https://www.digikey.com/en/products?keywords=INA228AIDGSR</v>
      </c>
      <c r="B174" s="2" t="n">
        <v>403</v>
      </c>
      <c r="C174" s="2" t="str">
        <v>Blocked automated check</v>
      </c>
      <c r="D174" s="2" t="str">
        <v>Not independently content-verified</v>
      </c>
      <c r="E174" s="2" t="str">
        <v>2026-09-14</v>
      </c>
    </row>
    <row r="175" ht="48" customHeight="1">
      <c r="A175" s="15" t="str">
        <v>https://www.digikey.com/en/products?keywords=Inspection%20microscope</v>
      </c>
      <c r="B175" s="2" t="n">
        <v>403</v>
      </c>
      <c r="C175" s="2" t="str">
        <v>Blocked automated check</v>
      </c>
      <c r="D175" s="2" t="str">
        <v>Not independently content-verified</v>
      </c>
      <c r="E175" s="2" t="str">
        <v>2026-09-14</v>
      </c>
    </row>
    <row r="176" ht="48" customHeight="1">
      <c r="A176" s="15" t="str">
        <v>https://www.digikey.com/en/products?keywords=JST%20GH%202%20housing</v>
      </c>
      <c r="B176" s="2" t="n">
        <v>403</v>
      </c>
      <c r="C176" s="2" t="str">
        <v>Blocked automated check</v>
      </c>
      <c r="D176" s="2" t="str">
        <v>Not independently content-verified</v>
      </c>
      <c r="E176" s="2" t="str">
        <v>2026-09-14</v>
      </c>
    </row>
    <row r="177" ht="48" customHeight="1">
      <c r="A177" s="15" t="str">
        <v>https://www.digikey.com/en/products?keywords=JST%20GH%202%20pin</v>
      </c>
      <c r="B177" s="2" t="n">
        <v>403</v>
      </c>
      <c r="C177" s="2" t="str">
        <v>Blocked automated check</v>
      </c>
      <c r="D177" s="2" t="str">
        <v>Not independently content-verified</v>
      </c>
      <c r="E177" s="2" t="str">
        <v>2026-09-14</v>
      </c>
    </row>
    <row r="178" ht="48" customHeight="1">
      <c r="A178" s="15" t="str">
        <v>https://www.digikey.com/en/products?keywords=JST%20GH%203%20housing</v>
      </c>
      <c r="B178" s="2" t="n">
        <v>403</v>
      </c>
      <c r="C178" s="2" t="str">
        <v>Blocked automated check</v>
      </c>
      <c r="D178" s="2" t="str">
        <v>Not independently content-verified</v>
      </c>
      <c r="E178" s="2" t="str">
        <v>2026-09-14</v>
      </c>
    </row>
    <row r="179" ht="48" customHeight="1">
      <c r="A179" s="15" t="str">
        <v>https://www.digikey.com/en/products?keywords=JST%20GH%203%20pin</v>
      </c>
      <c r="B179" s="2" t="n">
        <v>403</v>
      </c>
      <c r="C179" s="2" t="str">
        <v>Blocked automated check</v>
      </c>
      <c r="D179" s="2" t="str">
        <v>Not independently content-verified</v>
      </c>
      <c r="E179" s="2" t="str">
        <v>2026-09-14</v>
      </c>
    </row>
    <row r="180" ht="48" customHeight="1">
      <c r="A180" s="15" t="str">
        <v>https://www.digikey.com/en/products?keywords=JST%20GH%204%20housing</v>
      </c>
      <c r="B180" s="2" t="n">
        <v>403</v>
      </c>
      <c r="C180" s="2" t="str">
        <v>Blocked automated check</v>
      </c>
      <c r="D180" s="2" t="str">
        <v>Not independently content-verified</v>
      </c>
      <c r="E180" s="2" t="str">
        <v>2026-09-14</v>
      </c>
    </row>
    <row r="181" ht="48" customHeight="1">
      <c r="A181" s="15" t="str">
        <v>https://www.digikey.com/en/products?keywords=JST%20GH%204%20pin</v>
      </c>
      <c r="B181" s="2" t="n">
        <v>403</v>
      </c>
      <c r="C181" s="2" t="str">
        <v>Blocked automated check</v>
      </c>
      <c r="D181" s="2" t="str">
        <v>Not independently content-verified</v>
      </c>
      <c r="E181" s="2" t="str">
        <v>2026-09-14</v>
      </c>
    </row>
    <row r="182" ht="48" customHeight="1">
      <c r="A182" s="15" t="str">
        <v>https://www.digikey.com/en/products?keywords=JST%20GH%206%20housing</v>
      </c>
      <c r="B182" s="2" t="n">
        <v>403</v>
      </c>
      <c r="C182" s="2" t="str">
        <v>Blocked automated check</v>
      </c>
      <c r="D182" s="2" t="str">
        <v>Not independently content-verified</v>
      </c>
      <c r="E182" s="2" t="str">
        <v>2026-09-14</v>
      </c>
    </row>
    <row r="183" ht="48" customHeight="1">
      <c r="A183" s="15" t="str">
        <v>https://www.digikey.com/en/products?keywords=JST%20GH%206%20pin</v>
      </c>
      <c r="B183" s="2" t="n">
        <v>403</v>
      </c>
      <c r="C183" s="2" t="str">
        <v>Blocked automated check</v>
      </c>
      <c r="D183" s="2" t="str">
        <v>Not independently content-verified</v>
      </c>
      <c r="E183" s="2" t="str">
        <v>2026-09-14</v>
      </c>
    </row>
    <row r="184" ht="48" customHeight="1">
      <c r="A184" s="15" t="str">
        <v>https://www.digikey.com/en/products?keywords=JST%20GH%20compatible%20crimp%20tool</v>
      </c>
      <c r="B184" s="2" t="n">
        <v>403</v>
      </c>
      <c r="C184" s="2" t="str">
        <v>Blocked automated check</v>
      </c>
      <c r="D184" s="2" t="str">
        <v>Not independently content-verified</v>
      </c>
      <c r="E184" s="2" t="str">
        <v>2026-09-14</v>
      </c>
    </row>
    <row r="185" ht="48" customHeight="1">
      <c r="A185" s="15" t="str">
        <v>https://www.digikey.com/en/products?keywords=JST%20GH%20crimp%20contact</v>
      </c>
      <c r="B185" s="2" t="n">
        <v>403</v>
      </c>
      <c r="C185" s="2" t="str">
        <v>Blocked automated check</v>
      </c>
      <c r="D185" s="2" t="str">
        <v>Not independently content-verified</v>
      </c>
      <c r="E185" s="2" t="str">
        <v>2026-09-14</v>
      </c>
    </row>
    <row r="186" ht="48" customHeight="1">
      <c r="A186" s="15" t="str">
        <v>https://www.digikey.com/en/products?keywords=LAN7800%2FY9X</v>
      </c>
      <c r="B186" s="2" t="n">
        <v>403</v>
      </c>
      <c r="C186" s="2" t="str">
        <v>Blocked automated check</v>
      </c>
      <c r="D186" s="2" t="str">
        <v>Not independently content-verified</v>
      </c>
      <c r="E186" s="2" t="str">
        <v>2026-09-14</v>
      </c>
    </row>
    <row r="187" ht="48" customHeight="1">
      <c r="A187" s="15" t="str">
        <v>https://www.digikey.com/en/products?keywords=LIS2MDLTR</v>
      </c>
      <c r="B187" s="2" t="n">
        <v>403</v>
      </c>
      <c r="C187" s="2" t="str">
        <v>Blocked automated check</v>
      </c>
      <c r="D187" s="2" t="str">
        <v>Not independently content-verified</v>
      </c>
      <c r="E187" s="2" t="str">
        <v>2026-09-14</v>
      </c>
    </row>
    <row r="188" ht="48" customHeight="1">
      <c r="A188" s="15" t="str">
        <v>https://www.digikey.com/en/products?keywords=LM73100RPWR</v>
      </c>
      <c r="B188" s="2" t="n">
        <v>403</v>
      </c>
      <c r="C188" s="2" t="str">
        <v>Blocked automated check</v>
      </c>
      <c r="D188" s="2" t="str">
        <v>Not independently content-verified</v>
      </c>
      <c r="E188" s="2" t="str">
        <v>2026-09-14</v>
      </c>
    </row>
    <row r="189" ht="48" customHeight="1">
      <c r="A189" s="15" t="str">
        <v>https://www.digikey.com/en/products?keywords=LPS22HBTR</v>
      </c>
      <c r="B189" s="2" t="n">
        <v>403</v>
      </c>
      <c r="C189" s="2" t="str">
        <v>Blocked automated check</v>
      </c>
      <c r="D189" s="2" t="str">
        <v>Not independently content-verified</v>
      </c>
      <c r="E189" s="2" t="str">
        <v>2026-09-14</v>
      </c>
    </row>
    <row r="190" ht="48" customHeight="1">
      <c r="A190" s="15" t="str">
        <v>https://www.digikey.com/en/products?keywords=LQW15AN2N5B00D</v>
      </c>
      <c r="B190" s="2" t="n">
        <v>403</v>
      </c>
      <c r="C190" s="2" t="str">
        <v>Blocked automated check</v>
      </c>
      <c r="D190" s="2" t="str">
        <v>Not independently content-verified</v>
      </c>
      <c r="E190" s="2" t="str">
        <v>2026-09-14</v>
      </c>
    </row>
    <row r="191" ht="48" customHeight="1">
      <c r="A191" s="15" t="str">
        <v>https://www.digikey.com/en/products?keywords=LQW15AN3N0B80D</v>
      </c>
      <c r="B191" s="2" t="n">
        <v>403</v>
      </c>
      <c r="C191" s="2" t="str">
        <v>Blocked automated check</v>
      </c>
      <c r="D191" s="2" t="str">
        <v>Not independently content-verified</v>
      </c>
      <c r="E191" s="2" t="str">
        <v>2026-09-14</v>
      </c>
    </row>
    <row r="192" ht="48" customHeight="1">
      <c r="A192" s="15" t="str">
        <v>https://www.digikey.com/en/products?keywords=Logic%20analyzer</v>
      </c>
      <c r="B192" s="2" t="n">
        <v>403</v>
      </c>
      <c r="C192" s="2" t="str">
        <v>Blocked automated check</v>
      </c>
      <c r="D192" s="2" t="str">
        <v>Not independently content-verified</v>
      </c>
      <c r="E192" s="2" t="str">
        <v>2026-09-14</v>
      </c>
    </row>
    <row r="193" ht="48" customHeight="1">
      <c r="A193" s="15" t="str">
        <v>https://www.digikey.com/en/products?keywords=Logic-level%20N-MOSFET%20SOT-23</v>
      </c>
      <c r="B193" s="2" t="n">
        <v>403</v>
      </c>
      <c r="C193" s="2" t="str">
        <v>Blocked automated check</v>
      </c>
      <c r="D193" s="2" t="str">
        <v>Not independently content-verified</v>
      </c>
      <c r="E193" s="2" t="str">
        <v>2026-09-14</v>
      </c>
    </row>
    <row r="194" ht="48" customHeight="1">
      <c r="A194" s="15" t="str">
        <v>https://www.digikey.com/en/products?keywords=Logic-level%20P-MOSFET%20SOT-23</v>
      </c>
      <c r="B194" s="2" t="n">
        <v>403</v>
      </c>
      <c r="C194" s="2" t="str">
        <v>Blocked automated check</v>
      </c>
      <c r="D194" s="2" t="str">
        <v>Not independently content-verified</v>
      </c>
      <c r="E194" s="2" t="str">
        <v>2026-09-14</v>
      </c>
    </row>
    <row r="195" ht="48" customHeight="1">
      <c r="A195" s="15" t="str">
        <v>https://www.digikey.com/en/products?keywords=Low-capacitance%20ESD%20array%20Circuit-dependent</v>
      </c>
      <c r="B195" s="2" t="n">
        <v>403</v>
      </c>
      <c r="C195" s="2" t="str">
        <v>Blocked automated check</v>
      </c>
      <c r="D195" s="2" t="str">
        <v>Not independently content-verified</v>
      </c>
      <c r="E195" s="2" t="str">
        <v>2026-09-14</v>
      </c>
    </row>
    <row r="196" ht="48" customHeight="1">
      <c r="A196" s="15" t="str">
        <v>https://www.digikey.com/en/products?keywords=MAX3051EKA%2BT</v>
      </c>
      <c r="B196" s="2" t="n">
        <v>403</v>
      </c>
      <c r="C196" s="2" t="str">
        <v>Blocked automated check</v>
      </c>
      <c r="D196" s="2" t="str">
        <v>Not independently content-verified</v>
      </c>
      <c r="E196" s="2" t="str">
        <v>2026-09-14</v>
      </c>
    </row>
    <row r="197" ht="48" customHeight="1">
      <c r="A197" s="15" t="str">
        <v>https://www.digikey.com/en/products?keywords=MCU%20programmer%20debugger</v>
      </c>
      <c r="B197" s="2" t="n">
        <v>403</v>
      </c>
      <c r="C197" s="2" t="str">
        <v>Blocked automated check</v>
      </c>
      <c r="D197" s="2" t="str">
        <v>Not independently content-verified</v>
      </c>
      <c r="E197" s="2" t="str">
        <v>2026-09-14</v>
      </c>
    </row>
    <row r="198" ht="48" customHeight="1">
      <c r="A198" s="15" t="str">
        <v>https://www.digikey.com/en/products?keywords=Microcontroller%20Select%20platform</v>
      </c>
      <c r="B198" s="2" t="n">
        <v>403</v>
      </c>
      <c r="C198" s="2" t="str">
        <v>Blocked automated check</v>
      </c>
      <c r="D198" s="2" t="str">
        <v>Not independently content-verified</v>
      </c>
      <c r="E198" s="2" t="str">
        <v>2026-09-14</v>
      </c>
    </row>
    <row r="199" ht="48" customHeight="1">
      <c r="A199" s="15" t="str">
        <v>https://www.digikey.com/en/products?keywords=Moisture%20barrier%20bags%20desiccant%20humidity%20cards</v>
      </c>
      <c r="B199" s="2" t="n">
        <v>403</v>
      </c>
      <c r="C199" s="2" t="str">
        <v>Blocked automated check</v>
      </c>
      <c r="D199" s="2" t="str">
        <v>Not independently content-verified</v>
      </c>
      <c r="E199" s="2" t="str">
        <v>2026-09-14</v>
      </c>
    </row>
    <row r="200" ht="48" customHeight="1">
      <c r="A200" s="15" t="str">
        <v>https://www.digikey.com/en/products?keywords=NPN%20switching%20transistor%20SOT-23</v>
      </c>
      <c r="B200" s="2" t="n">
        <v>403</v>
      </c>
      <c r="C200" s="2" t="str">
        <v>Blocked automated check</v>
      </c>
      <c r="D200" s="2" t="str">
        <v>Not independently content-verified</v>
      </c>
      <c r="E200" s="2" t="str">
        <v>2026-09-14</v>
      </c>
    </row>
    <row r="201" ht="48" customHeight="1">
      <c r="A201" s="15" t="str">
        <v>https://www.digikey.com/en/products?keywords=Oscilloscope%20with%20probes</v>
      </c>
      <c r="B201" s="2" t="n">
        <v>403</v>
      </c>
      <c r="C201" s="2" t="str">
        <v>Blocked automated check</v>
      </c>
      <c r="D201" s="2" t="str">
        <v>Not independently content-verified</v>
      </c>
      <c r="E201" s="2" t="str">
        <v>2026-09-14</v>
      </c>
    </row>
    <row r="202" ht="48" customHeight="1">
      <c r="A202" s="15" t="str">
        <v>https://www.digikey.com/en/products?keywords=PCB%20stencil</v>
      </c>
      <c r="B202" s="2" t="n">
        <v>403</v>
      </c>
      <c r="C202" s="2" t="str">
        <v>Blocked automated check</v>
      </c>
      <c r="D202" s="2" t="str">
        <v>Not independently content-verified</v>
      </c>
      <c r="E202" s="2" t="str">
        <v>2026-09-14</v>
      </c>
    </row>
    <row r="203" ht="48" customHeight="1">
      <c r="A203" s="15" t="str">
        <v>https://www.digikey.com/en/products?keywords=PCB%20support%20fixtures</v>
      </c>
      <c r="B203" s="2" t="n">
        <v>403</v>
      </c>
      <c r="C203" s="2" t="str">
        <v>Blocked automated check</v>
      </c>
      <c r="D203" s="2" t="str">
        <v>Not independently content-verified</v>
      </c>
      <c r="E203" s="2" t="str">
        <v>2026-09-14</v>
      </c>
    </row>
    <row r="204" ht="48" customHeight="1">
      <c r="A204" s="15" t="str">
        <v>https://www.digikey.com/en/products?keywords=PCB%20test%20point%20Select%20footprint</v>
      </c>
      <c r="B204" s="2" t="n">
        <v>403</v>
      </c>
      <c r="C204" s="2" t="str">
        <v>Blocked automated check</v>
      </c>
      <c r="D204" s="2" t="str">
        <v>Not independently content-verified</v>
      </c>
      <c r="E204" s="2" t="str">
        <v>2026-09-14</v>
      </c>
    </row>
    <row r="205" ht="48" customHeight="1">
      <c r="A205" s="15" t="str">
        <v>https://www.digikey.com/en/products?keywords=PNP%20switching%20transistor%20SOT-23</v>
      </c>
      <c r="B205" s="2" t="n">
        <v>403</v>
      </c>
      <c r="C205" s="2" t="str">
        <v>Blocked automated check</v>
      </c>
      <c r="D205" s="2" t="str">
        <v>Not independently content-verified</v>
      </c>
      <c r="E205" s="2" t="str">
        <v>2026-09-14</v>
      </c>
    </row>
    <row r="206" ht="48" customHeight="1">
      <c r="A206" s="15" t="str">
        <v>https://www.digikey.com/en/products?keywords=PnP%20feeders</v>
      </c>
      <c r="B206" s="2" t="n">
        <v>403</v>
      </c>
      <c r="C206" s="2" t="str">
        <v>Blocked automated check</v>
      </c>
      <c r="D206" s="2" t="str">
        <v>Not independently content-verified</v>
      </c>
      <c r="E206" s="2" t="str">
        <v>2026-09-14</v>
      </c>
    </row>
    <row r="207" ht="48" customHeight="1">
      <c r="A207" s="15" t="str">
        <v>https://www.digikey.com/en/products?keywords=PnP%20nozzle%20set</v>
      </c>
      <c r="B207" s="2" t="n">
        <v>403</v>
      </c>
      <c r="C207" s="2" t="str">
        <v>Blocked automated check</v>
      </c>
      <c r="D207" s="2" t="str">
        <v>Not independently content-verified</v>
      </c>
      <c r="E207" s="2" t="str">
        <v>2026-09-14</v>
      </c>
    </row>
    <row r="208" ht="48" customHeight="1">
      <c r="A208" s="15" t="str">
        <v>https://www.digikey.com/en/products?keywords=Power%20connector%20mating%20pair%20Mechanical%20choice</v>
      </c>
      <c r="B208" s="2" t="n">
        <v>403</v>
      </c>
      <c r="C208" s="2" t="str">
        <v>Blocked automated check</v>
      </c>
      <c r="D208" s="2" t="str">
        <v>Not independently content-verified</v>
      </c>
      <c r="E208" s="2" t="str">
        <v>2026-09-14</v>
      </c>
    </row>
    <row r="209" ht="48" customHeight="1">
      <c r="A209" s="15" t="str">
        <v>https://www.digikey.com/en/products?keywords=Power%20inductor%20Circuit-dependent</v>
      </c>
      <c r="B209" s="2" t="n">
        <v>403</v>
      </c>
      <c r="C209" s="2" t="str">
        <v>Blocked automated check</v>
      </c>
      <c r="D209" s="2" t="str">
        <v>Not independently content-verified</v>
      </c>
      <c r="E209" s="2" t="str">
        <v>2026-09-14</v>
      </c>
    </row>
    <row r="210" ht="48" customHeight="1">
      <c r="A210" s="15" t="str">
        <v>https://www.digikey.com/en/products?keywords=Power-bus%20TVS%20diode%20Circuit-dependent</v>
      </c>
      <c r="B210" s="2" t="n">
        <v>403</v>
      </c>
      <c r="C210" s="2" t="str">
        <v>Blocked automated check</v>
      </c>
      <c r="D210" s="2" t="str">
        <v>Not independently content-verified</v>
      </c>
      <c r="E210" s="2" t="str">
        <v>2026-09-14</v>
      </c>
    </row>
    <row r="211" ht="48" customHeight="1">
      <c r="A211" s="15" t="str">
        <v>https://www.digikey.com/en/products?keywords=Precision%20shunt%20resistor%20Circuit-dependent</v>
      </c>
      <c r="B211" s="2" t="n">
        <v>403</v>
      </c>
      <c r="C211" s="2" t="str">
        <v>Blocked automated check</v>
      </c>
      <c r="D211" s="2" t="str">
        <v>Not independently content-verified</v>
      </c>
      <c r="E211" s="2" t="str">
        <v>2026-09-14</v>
      </c>
    </row>
    <row r="212" ht="48" customHeight="1">
      <c r="A212" s="15" t="str">
        <v>https://www.digikey.com/en/products?keywords=RED</v>
      </c>
      <c r="B212" s="2" t="n">
        <v>403</v>
      </c>
      <c r="C212" s="2" t="str">
        <v>Blocked automated check</v>
      </c>
      <c r="D212" s="2" t="str">
        <v>Not independently content-verified</v>
      </c>
      <c r="E212" s="2" t="str">
        <v>2026-09-14</v>
      </c>
    </row>
    <row r="213" ht="48" customHeight="1">
      <c r="A213" s="15" t="str">
        <v>https://www.digikey.com/en/products?keywords=RF%20connector%20Mechanical%20choice</v>
      </c>
      <c r="B213" s="2" t="n">
        <v>403</v>
      </c>
      <c r="C213" s="2" t="str">
        <v>Blocked automated check</v>
      </c>
      <c r="D213" s="2" t="str">
        <v>Not independently content-verified</v>
      </c>
      <c r="E213" s="2" t="str">
        <v>2026-09-14</v>
      </c>
    </row>
    <row r="214" ht="48" customHeight="1">
      <c r="A214" s="15" t="str">
        <v>https://www.digikey.com/en/products?keywords=RFX2401C</v>
      </c>
      <c r="B214" s="2" t="n">
        <v>403</v>
      </c>
      <c r="C214" s="2" t="str">
        <v>Blocked automated check</v>
      </c>
      <c r="D214" s="2" t="str">
        <v>Not independently content-verified</v>
      </c>
      <c r="E214" s="2" t="str">
        <v>2026-09-14</v>
      </c>
    </row>
    <row r="215" ht="48" customHeight="1">
      <c r="A215" s="15" t="str">
        <v>https://www.digikey.com/en/products?keywords=RS-485%20transceiver%20Select%20platform</v>
      </c>
      <c r="B215" s="2" t="n">
        <v>403</v>
      </c>
      <c r="C215" s="2" t="str">
        <v>Blocked automated check</v>
      </c>
      <c r="D215" s="2" t="str">
        <v>Not independently content-verified</v>
      </c>
      <c r="E215" s="2" t="str">
        <v>2026-09-14</v>
      </c>
    </row>
    <row r="216" ht="48" customHeight="1">
      <c r="A216" s="15" t="str">
        <v>https://www.digikey.com/en/products?keywords=Red%20indicator%20LED%200603%20EIA</v>
      </c>
      <c r="B216" s="2" t="n">
        <v>403</v>
      </c>
      <c r="C216" s="2" t="str">
        <v>Blocked automated check</v>
      </c>
      <c r="D216" s="2" t="str">
        <v>Not independently content-verified</v>
      </c>
      <c r="E216" s="2" t="str">
        <v>2026-09-14</v>
      </c>
    </row>
    <row r="217" ht="48" customHeight="1">
      <c r="A217" s="15" t="str">
        <v>https://www.digikey.com/en/products?keywords=Reel%20storage%20rack</v>
      </c>
      <c r="B217" s="2" t="n">
        <v>403</v>
      </c>
      <c r="C217" s="2" t="str">
        <v>Blocked automated check</v>
      </c>
      <c r="D217" s="2" t="str">
        <v>Not independently content-verified</v>
      </c>
      <c r="E217" s="2" t="str">
        <v>2026-09-14</v>
      </c>
    </row>
    <row r="218" ht="48" customHeight="1">
      <c r="A218" s="15" t="str">
        <v>https://www.digikey.com/en/products?keywords=Reflow%20oven</v>
      </c>
      <c r="B218" s="2" t="n">
        <v>403</v>
      </c>
      <c r="C218" s="2" t="str">
        <v>Blocked automated check</v>
      </c>
      <c r="D218" s="2" t="str">
        <v>Not independently content-verified</v>
      </c>
      <c r="E218" s="2" t="str">
        <v>2026-09-14</v>
      </c>
    </row>
    <row r="219" ht="48" customHeight="1">
      <c r="A219" s="15" t="str">
        <v>https://www.digikey.com/en/products?keywords=Reflow%20thermocouple%20profiler</v>
      </c>
      <c r="B219" s="2" t="n">
        <v>403</v>
      </c>
      <c r="C219" s="2" t="str">
        <v>Blocked automated check</v>
      </c>
      <c r="D219" s="2" t="str">
        <v>Not independently content-verified</v>
      </c>
      <c r="E219" s="2" t="str">
        <v>2026-09-14</v>
      </c>
    </row>
    <row r="220" ht="48" customHeight="1">
      <c r="A220" s="15" t="str">
        <v>https://www.digikey.com/en/products?keywords=Reset%20supervisor%20Select%20platform</v>
      </c>
      <c r="B220" s="2" t="n">
        <v>403</v>
      </c>
      <c r="C220" s="2" t="str">
        <v>Blocked automated check</v>
      </c>
      <c r="D220" s="2" t="str">
        <v>Not independently content-verified</v>
      </c>
      <c r="E220" s="2" t="str">
        <v>2026-09-14</v>
      </c>
    </row>
    <row r="221" ht="48" customHeight="1">
      <c r="A221" s="15" t="str">
        <v>https://www.digikey.com/en/products?keywords=SKY13585-679LF</v>
      </c>
      <c r="B221" s="2" t="n">
        <v>403</v>
      </c>
      <c r="C221" s="2" t="str">
        <v>Blocked automated check</v>
      </c>
      <c r="D221" s="2" t="str">
        <v>Not independently content-verified</v>
      </c>
      <c r="E221" s="2" t="str">
        <v>2026-09-14</v>
      </c>
    </row>
    <row r="222" ht="48" customHeight="1">
      <c r="A222" s="15" t="str">
        <v>https://www.digikey.com/en/products?keywords=SN74LVC1G125</v>
      </c>
      <c r="B222" s="2" t="n">
        <v>403</v>
      </c>
      <c r="C222" s="2" t="str">
        <v>Blocked automated check</v>
      </c>
      <c r="D222" s="2" t="str">
        <v>Not independently content-verified</v>
      </c>
      <c r="E222" s="2" t="str">
        <v>2026-09-14</v>
      </c>
    </row>
    <row r="223" ht="48" customHeight="1">
      <c r="A223" s="15" t="str">
        <v>https://www.digikey.com/en/products?keywords=SN74LVC1G14</v>
      </c>
      <c r="B223" s="2" t="n">
        <v>403</v>
      </c>
      <c r="C223" s="2" t="str">
        <v>Blocked automated check</v>
      </c>
      <c r="D223" s="2" t="str">
        <v>Not independently content-verified</v>
      </c>
      <c r="E223" s="2" t="str">
        <v>2026-09-14</v>
      </c>
    </row>
    <row r="224" ht="48" customHeight="1">
      <c r="A224" s="15" t="str">
        <v>https://www.digikey.com/en/products?keywords=SN74LVC1T45</v>
      </c>
      <c r="B224" s="2" t="n">
        <v>403</v>
      </c>
      <c r="C224" s="2" t="str">
        <v>Blocked automated check</v>
      </c>
      <c r="D224" s="2" t="str">
        <v>Not independently content-verified</v>
      </c>
      <c r="E224" s="2" t="str">
        <v>2026-09-14</v>
      </c>
    </row>
    <row r="225" ht="48" customHeight="1">
      <c r="A225" s="15" t="str">
        <v>https://www.digikey.com/en/products?keywords=SPI%20flash%20Select%20platform</v>
      </c>
      <c r="B225" s="2" t="n">
        <v>403</v>
      </c>
      <c r="C225" s="2" t="str">
        <v>Blocked automated check</v>
      </c>
      <c r="D225" s="2" t="str">
        <v>Not independently content-verified</v>
      </c>
      <c r="E225" s="2" t="str">
        <v>2026-09-14</v>
      </c>
    </row>
    <row r="226" ht="48" customHeight="1">
      <c r="A226" s="15" t="str">
        <v>https://www.digikey.com/en/products?keywords=ST33HTPH2X32AHE4</v>
      </c>
      <c r="B226" s="2" t="n">
        <v>403</v>
      </c>
      <c r="C226" s="2" t="str">
        <v>Blocked automated check</v>
      </c>
      <c r="D226" s="2" t="str">
        <v>Not independently content-verified</v>
      </c>
      <c r="E226" s="2" t="str">
        <v>2026-09-14</v>
      </c>
    </row>
    <row r="227" ht="48" customHeight="1">
      <c r="A227" s="15" t="str">
        <v>https://www.digikey.com/en/products?keywords=STM32F030F4P6TR</v>
      </c>
      <c r="B227" s="2" t="n">
        <v>403</v>
      </c>
      <c r="C227" s="2" t="str">
        <v>Blocked automated check</v>
      </c>
      <c r="D227" s="2" t="str">
        <v>Not independently content-verified</v>
      </c>
      <c r="E227" s="2" t="str">
        <v>2026-09-14</v>
      </c>
    </row>
    <row r="228" ht="48" customHeight="1">
      <c r="A228" s="15" t="str">
        <v>https://www.digikey.com/en/products?keywords=STM32F446RET6</v>
      </c>
      <c r="B228" s="2" t="n">
        <v>403</v>
      </c>
      <c r="C228" s="2" t="str">
        <v>Blocked automated check</v>
      </c>
      <c r="D228" s="2" t="str">
        <v>Not independently content-verified</v>
      </c>
      <c r="E228" s="2" t="str">
        <v>2026-09-14</v>
      </c>
    </row>
    <row r="229" ht="48" customHeight="1">
      <c r="A229" s="15" t="str">
        <v>https://www.digikey.com/en/products?keywords=STM32H743IIK6</v>
      </c>
      <c r="B229" s="2" t="n">
        <v>403</v>
      </c>
      <c r="C229" s="2" t="str">
        <v>Blocked automated check</v>
      </c>
      <c r="D229" s="2" t="str">
        <v>Not independently content-verified</v>
      </c>
      <c r="E229" s="2" t="str">
        <v>2026-09-14</v>
      </c>
    </row>
    <row r="230" ht="48" customHeight="1">
      <c r="A230" s="15" t="str">
        <v>https://www.digikey.com/en/products?keywords=SWD%20programming%20connector%20Mechanical%20choice</v>
      </c>
      <c r="B230" s="2" t="n">
        <v>403</v>
      </c>
      <c r="C230" s="2" t="str">
        <v>Blocked automated check</v>
      </c>
      <c r="D230" s="2" t="str">
        <v>Not independently content-verified</v>
      </c>
      <c r="E230" s="2" t="str">
        <v>2026-09-14</v>
      </c>
    </row>
    <row r="231" ht="48" customHeight="1">
      <c r="A231" s="15" t="str">
        <v>https://www.digikey.com/en/products?keywords=SX1280IMLTRT</v>
      </c>
      <c r="B231" s="2" t="n">
        <v>403</v>
      </c>
      <c r="C231" s="2" t="str">
        <v>Blocked automated check</v>
      </c>
      <c r="D231" s="2" t="str">
        <v>Not independently content-verified</v>
      </c>
      <c r="E231" s="2" t="str">
        <v>2026-09-14</v>
      </c>
    </row>
    <row r="232" ht="48" customHeight="1">
      <c r="A232" s="15" t="str">
        <v>https://www.digikey.com/en/products?keywords=Small%20Schottky%20diode%20Select%20package</v>
      </c>
      <c r="B232" s="2" t="n">
        <v>403</v>
      </c>
      <c r="C232" s="2" t="str">
        <v>Blocked automated check</v>
      </c>
      <c r="D232" s="2" t="str">
        <v>Not independently content-verified</v>
      </c>
      <c r="E232" s="2" t="str">
        <v>2026-09-14</v>
      </c>
    </row>
    <row r="233" ht="48" customHeight="1">
      <c r="A233" s="15" t="str">
        <v>https://www.digikey.com/en/products?keywords=Solder%20paste</v>
      </c>
      <c r="B233" s="2" t="n">
        <v>403</v>
      </c>
      <c r="C233" s="2" t="str">
        <v>Blocked automated check</v>
      </c>
      <c r="D233" s="2" t="str">
        <v>Not independently content-verified</v>
      </c>
      <c r="E233" s="2" t="str">
        <v>2026-09-14</v>
      </c>
    </row>
    <row r="234" ht="48" customHeight="1">
      <c r="A234" s="15" t="str">
        <v>https://www.digikey.com/en/products?keywords=Soldering%20station</v>
      </c>
      <c r="B234" s="2" t="n">
        <v>403</v>
      </c>
      <c r="C234" s="2" t="str">
        <v>Blocked automated check</v>
      </c>
      <c r="D234" s="2" t="str">
        <v>Not independently content-verified</v>
      </c>
      <c r="E234" s="2" t="str">
        <v>2026-09-14</v>
      </c>
    </row>
    <row r="235" ht="48" customHeight="1">
      <c r="A235" s="15" t="str">
        <v>https://www.digikey.com/en/products?keywords=Stencil%20printer%20or%20alignment%20fixture</v>
      </c>
      <c r="B235" s="2" t="n">
        <v>403</v>
      </c>
      <c r="C235" s="2" t="str">
        <v>Blocked automated check</v>
      </c>
      <c r="D235" s="2" t="str">
        <v>Not independently content-verified</v>
      </c>
      <c r="E235" s="2" t="str">
        <v>2026-09-14</v>
      </c>
    </row>
    <row r="236" ht="48" customHeight="1">
      <c r="A236" s="15" t="str">
        <v>https://www.digikey.com/en/products?keywords=TC2030-NL-FP</v>
      </c>
      <c r="B236" s="2" t="n">
        <v>403</v>
      </c>
      <c r="C236" s="2" t="str">
        <v>Blocked automated check</v>
      </c>
      <c r="D236" s="2" t="str">
        <v>Not independently content-verified</v>
      </c>
      <c r="E236" s="2" t="str">
        <v>2026-09-14</v>
      </c>
    </row>
    <row r="237" ht="48" customHeight="1">
      <c r="A237" s="15" t="str">
        <v>https://www.digikey.com/en/products?keywords=TC5050RGBF08-3CJH-AF53A</v>
      </c>
      <c r="B237" s="2" t="n">
        <v>403</v>
      </c>
      <c r="C237" s="2" t="str">
        <v>Blocked automated check</v>
      </c>
      <c r="D237" s="2" t="str">
        <v>Not independently content-verified</v>
      </c>
      <c r="E237" s="2" t="str">
        <v>2026-09-14</v>
      </c>
    </row>
    <row r="238" ht="48" customHeight="1">
      <c r="A238" s="15" t="str">
        <v>https://www.digikey.com/en/products?keywords=TCAN332</v>
      </c>
      <c r="B238" s="2" t="n">
        <v>403</v>
      </c>
      <c r="C238" s="2" t="str">
        <v>Blocked automated check</v>
      </c>
      <c r="D238" s="2" t="str">
        <v>Not independently content-verified</v>
      </c>
      <c r="E238" s="2" t="str">
        <v>2026-09-14</v>
      </c>
    </row>
    <row r="239" ht="48" customHeight="1">
      <c r="A239" s="15" t="str">
        <v>https://www.digikey.com/en/products?keywords=TESEO-LIV3R</v>
      </c>
      <c r="B239" s="2" t="n">
        <v>403</v>
      </c>
      <c r="C239" s="2" t="str">
        <v>Blocked automated check</v>
      </c>
      <c r="D239" s="2" t="str">
        <v>Not independently content-verified</v>
      </c>
      <c r="E239" s="2" t="str">
        <v>2026-09-14</v>
      </c>
    </row>
    <row r="240" ht="48" customHeight="1">
      <c r="A240" s="15" t="str">
        <v>https://www.digikey.com/en/products?keywords=THVD1551DGK</v>
      </c>
      <c r="B240" s="2" t="n">
        <v>403</v>
      </c>
      <c r="C240" s="2" t="str">
        <v>Blocked automated check</v>
      </c>
      <c r="D240" s="2" t="str">
        <v>Not independently content-verified</v>
      </c>
      <c r="E240" s="2" t="str">
        <v>2026-09-14</v>
      </c>
    </row>
    <row r="241" ht="48" customHeight="1">
      <c r="A241" s="15" t="str">
        <v>https://www.digikey.com/en/products?keywords=TLV3201</v>
      </c>
      <c r="B241" s="2" t="n">
        <v>403</v>
      </c>
      <c r="C241" s="2" t="str">
        <v>Blocked automated check</v>
      </c>
      <c r="D241" s="2" t="str">
        <v>Not independently content-verified</v>
      </c>
      <c r="E241" s="2" t="str">
        <v>2026-09-14</v>
      </c>
    </row>
    <row r="242" ht="48" customHeight="1">
      <c r="A242" s="15" t="str">
        <v>https://www.digikey.com/en/products?keywords=TLV755P</v>
      </c>
      <c r="B242" s="2" t="n">
        <v>403</v>
      </c>
      <c r="C242" s="2" t="str">
        <v>Blocked automated check</v>
      </c>
      <c r="D242" s="2" t="str">
        <v>Not independently content-verified</v>
      </c>
      <c r="E242" s="2" t="str">
        <v>2026-09-14</v>
      </c>
    </row>
    <row r="243" ht="48" customHeight="1">
      <c r="A243" s="15" t="str">
        <v>https://www.digikey.com/en/products?keywords=TLV9002</v>
      </c>
      <c r="B243" s="2" t="n">
        <v>403</v>
      </c>
      <c r="C243" s="2" t="str">
        <v>Blocked automated check</v>
      </c>
      <c r="D243" s="2" t="str">
        <v>Not independently content-verified</v>
      </c>
      <c r="E243" s="2" t="str">
        <v>2026-09-14</v>
      </c>
    </row>
    <row r="244" ht="48" customHeight="1">
      <c r="A244" s="15" t="str">
        <v>https://www.digikey.com/en/products?keywords=TMUX1309PWR</v>
      </c>
      <c r="B244" s="2" t="n">
        <v>403</v>
      </c>
      <c r="C244" s="2" t="str">
        <v>Blocked automated check</v>
      </c>
      <c r="D244" s="2" t="str">
        <v>Not independently content-verified</v>
      </c>
      <c r="E244" s="2" t="str">
        <v>2026-09-14</v>
      </c>
    </row>
    <row r="245" ht="48" customHeight="1">
      <c r="A245" s="15" t="str">
        <v>https://www.digikey.com/en/products?keywords=TPS22918</v>
      </c>
      <c r="B245" s="2" t="n">
        <v>403</v>
      </c>
      <c r="C245" s="2" t="str">
        <v>Blocked automated check</v>
      </c>
      <c r="D245" s="2" t="str">
        <v>Not independently content-verified</v>
      </c>
      <c r="E245" s="2" t="str">
        <v>2026-09-14</v>
      </c>
    </row>
    <row r="246" ht="48" customHeight="1">
      <c r="A246" s="15" t="str">
        <v>https://www.digikey.com/en/products?keywords=TSX-3225%2024.0000MF15X-AC</v>
      </c>
      <c r="B246" s="2" t="n">
        <v>403</v>
      </c>
      <c r="C246" s="2" t="str">
        <v>Blocked automated check</v>
      </c>
      <c r="D246" s="2" t="str">
        <v>Not independently content-verified</v>
      </c>
      <c r="E246" s="2" t="str">
        <v>2026-09-14</v>
      </c>
    </row>
    <row r="247" ht="48" customHeight="1">
      <c r="A247" s="15" t="str">
        <v>https://www.digikey.com/en/products?keywords=TXB0104RGYR</v>
      </c>
      <c r="B247" s="2" t="n">
        <v>403</v>
      </c>
      <c r="C247" s="2" t="str">
        <v>Blocked automated check</v>
      </c>
      <c r="D247" s="2" t="str">
        <v>Not independently content-verified</v>
      </c>
      <c r="E247" s="2" t="str">
        <v>2026-09-14</v>
      </c>
    </row>
    <row r="248" ht="48" customHeight="1">
      <c r="A248" s="15" t="str">
        <v>https://www.digikey.com/en/products?keywords=Tactile%20switch%20Select%20footprint</v>
      </c>
      <c r="B248" s="2" t="n">
        <v>403</v>
      </c>
      <c r="C248" s="2" t="str">
        <v>Blocked automated check</v>
      </c>
      <c r="D248" s="2" t="str">
        <v>Not independently content-verified</v>
      </c>
      <c r="E248" s="2" t="str">
        <v>2026-09-14</v>
      </c>
    </row>
    <row r="249" ht="48" customHeight="1">
      <c r="A249" s="15" t="str">
        <v>https://www.digikey.com/en/products?keywords=Tape%20leader%20and%20splice%20supplies</v>
      </c>
      <c r="B249" s="2" t="n">
        <v>403</v>
      </c>
      <c r="C249" s="2" t="str">
        <v>Blocked automated check</v>
      </c>
      <c r="D249" s="2" t="str">
        <v>Not independently content-verified</v>
      </c>
      <c r="E249" s="2" t="str">
        <v>2026-09-14</v>
      </c>
    </row>
    <row r="250" ht="48" customHeight="1">
      <c r="A250" s="15" t="str">
        <v>https://www.digikey.com/en/products?keywords=U.FL-R-SMT-1%2880%29</v>
      </c>
      <c r="B250" s="2" t="n">
        <v>403</v>
      </c>
      <c r="C250" s="2" t="str">
        <v>Blocked automated check</v>
      </c>
      <c r="D250" s="2" t="str">
        <v>Not independently content-verified</v>
      </c>
      <c r="E250" s="2" t="str">
        <v>2026-09-14</v>
      </c>
    </row>
    <row r="251" ht="48" customHeight="1">
      <c r="A251" s="15" t="str">
        <v>https://www.digikey.com/en/products?keywords=USB%20UART%20bridge%20Select%20platform</v>
      </c>
      <c r="B251" s="2" t="n">
        <v>403</v>
      </c>
      <c r="C251" s="2" t="str">
        <v>Blocked automated check</v>
      </c>
      <c r="D251" s="2" t="str">
        <v>Not independently content-verified</v>
      </c>
      <c r="E251" s="2" t="str">
        <v>2026-09-14</v>
      </c>
    </row>
    <row r="252" ht="48" customHeight="1">
      <c r="A252" s="15" t="str">
        <v>https://www.digikey.com/en/products?keywords=USB%20connector%20Mechanical%20choice</v>
      </c>
      <c r="B252" s="2" t="n">
        <v>403</v>
      </c>
      <c r="C252" s="2" t="str">
        <v>Blocked automated check</v>
      </c>
      <c r="D252" s="2" t="str">
        <v>Not independently content-verified</v>
      </c>
      <c r="E252" s="2" t="str">
        <v>2026-09-14</v>
      </c>
    </row>
    <row r="253" ht="48" customHeight="1">
      <c r="A253" s="15" t="str">
        <v>https://www.digikey.com/en/products?keywords=USB5744-I%2F2G</v>
      </c>
      <c r="B253" s="2" t="n">
        <v>403</v>
      </c>
      <c r="C253" s="2" t="str">
        <v>Blocked automated check</v>
      </c>
      <c r="D253" s="2" t="str">
        <v>Not independently content-verified</v>
      </c>
      <c r="E253" s="2" t="str">
        <v>2026-09-14</v>
      </c>
    </row>
    <row r="254" ht="48" customHeight="1">
      <c r="A254" s="15" t="str">
        <v>https://www.digikey.com/en/products?keywords=Wire%20stripper%20and%20flush%20cutters</v>
      </c>
      <c r="B254" s="2" t="n">
        <v>403</v>
      </c>
      <c r="C254" s="2" t="str">
        <v>Blocked automated check</v>
      </c>
      <c r="D254" s="2" t="str">
        <v>Not independently content-verified</v>
      </c>
      <c r="E254" s="2" t="str">
        <v>2026-09-14</v>
      </c>
    </row>
    <row r="255" ht="48" customHeight="1">
      <c r="A255" s="15" t="str">
        <v>https://www.digikey.com/en/products?keywords=XT60PW-F</v>
      </c>
      <c r="B255" s="2" t="n">
        <v>403</v>
      </c>
      <c r="C255" s="2" t="str">
        <v>Blocked automated check</v>
      </c>
      <c r="D255" s="2" t="str">
        <v>Not independently content-verified</v>
      </c>
      <c r="E255" s="2" t="str">
        <v>2026-09-14</v>
      </c>
    </row>
    <row r="256" ht="48" customHeight="1">
      <c r="A256" s="15" t="str">
        <v>https://www.digikey.com/en/products?keywords=XT60PW-M</v>
      </c>
      <c r="B256" s="2" t="n">
        <v>403</v>
      </c>
      <c r="C256" s="2" t="str">
        <v>Blocked automated check</v>
      </c>
      <c r="D256" s="2" t="str">
        <v>Not independently content-verified</v>
      </c>
      <c r="E256" s="2" t="str">
        <v>2026-09-14</v>
      </c>
    </row>
    <row r="257" ht="48" customHeight="1">
      <c r="A257" s="15" t="str">
        <v>https://www.jst-mfg.com/product/index.php?series=105</v>
      </c>
      <c r="B257" s="2" t="n">
        <v>200</v>
      </c>
      <c r="C257" s="2" t="str">
        <v>HTTP reachable; product match not guaranteed</v>
      </c>
      <c r="D257" s="2" t="str">
        <v>Not independently content-verified</v>
      </c>
      <c r="E257" s="2" t="str">
        <v>2026-09-14</v>
      </c>
    </row>
    <row r="258" ht="48" customHeight="1">
      <c r="A258" s="15" t="str">
        <v>https://www.qorvo.com/support/subscription-center/product-longevity-program</v>
      </c>
      <c r="B258" s="2" t="n">
        <v>429</v>
      </c>
      <c r="C258" s="2" t="str">
        <v>Blocked automated check</v>
      </c>
      <c r="D258" s="2" t="str">
        <v>Product/lifecycle content read</v>
      </c>
      <c r="E258" s="2" t="str">
        <v>2026-09-14</v>
      </c>
    </row>
    <row r="259" ht="48" customHeight="1">
      <c r="A259" s="15" t="str">
        <v>https://www.st.com/en/positioning/teseo-liv3r.html</v>
      </c>
      <c r="B259" s="2"/>
      <c r="C259" s="2" t="str">
        <v>TimeoutError - browser check needed</v>
      </c>
      <c r="D259" s="2" t="str">
        <v>Product/lifecycle content read</v>
      </c>
      <c r="E259" s="2" t="str">
        <v>2026-09-14</v>
      </c>
    </row>
    <row r="260" ht="48" customHeight="1">
      <c r="A260" s="15" t="str">
        <v>https://www.ti.com/product/INA180</v>
      </c>
      <c r="B260" s="2" t="n">
        <v>200</v>
      </c>
      <c r="C260" s="2" t="str">
        <v>HTTP reachable; product match not guaranteed</v>
      </c>
      <c r="D260" s="2" t="str">
        <v>Not independently content-verified</v>
      </c>
      <c r="E260" s="2" t="str">
        <v>2026-09-14</v>
      </c>
    </row>
    <row r="261" ht="48" customHeight="1">
      <c r="A261" s="15" t="str">
        <v>https://www.ti.com/product/SN74LVC1G125</v>
      </c>
      <c r="B261" s="2" t="n">
        <v>200</v>
      </c>
      <c r="C261" s="2" t="str">
        <v>HTTP reachable; product match not guaranteed</v>
      </c>
      <c r="D261" s="2" t="str">
        <v>Not independently content-verified</v>
      </c>
      <c r="E261" s="2" t="str">
        <v>2026-09-14</v>
      </c>
    </row>
    <row r="262" ht="48" customHeight="1">
      <c r="A262" s="15" t="str">
        <v>https://www.ti.com/product/SN74LVC1G14</v>
      </c>
      <c r="B262" s="2" t="n">
        <v>200</v>
      </c>
      <c r="C262" s="2" t="str">
        <v>HTTP reachable; product match not guaranteed</v>
      </c>
      <c r="D262" s="2" t="str">
        <v>Not independently content-verified</v>
      </c>
      <c r="E262" s="2" t="str">
        <v>2026-09-14</v>
      </c>
    </row>
    <row r="263" ht="48" customHeight="1">
      <c r="A263" s="15" t="str">
        <v>https://www.ti.com/product/SN74LVC1T45</v>
      </c>
      <c r="B263" s="2" t="n">
        <v>200</v>
      </c>
      <c r="C263" s="2" t="str">
        <v>HTTP reachable; product match not guaranteed</v>
      </c>
      <c r="D263" s="2" t="str">
        <v>Not independently content-verified</v>
      </c>
      <c r="E263" s="2" t="str">
        <v>2026-09-14</v>
      </c>
    </row>
    <row r="264" ht="48" customHeight="1">
      <c r="A264" s="15" t="str">
        <v>https://www.ti.com/product/TCAN332</v>
      </c>
      <c r="B264" s="2" t="n">
        <v>200</v>
      </c>
      <c r="C264" s="2" t="str">
        <v>HTTP reachable; product match not guaranteed</v>
      </c>
      <c r="D264" s="2" t="str">
        <v>Not independently content-verified</v>
      </c>
      <c r="E264" s="2" t="str">
        <v>2026-09-14</v>
      </c>
    </row>
    <row r="265" ht="48" customHeight="1">
      <c r="A265" s="15" t="str">
        <v>https://www.ti.com/product/TLV3201</v>
      </c>
      <c r="B265" s="2" t="n">
        <v>200</v>
      </c>
      <c r="C265" s="2" t="str">
        <v>HTTP reachable; product match not guaranteed</v>
      </c>
      <c r="D265" s="2" t="str">
        <v>Not independently content-verified</v>
      </c>
      <c r="E265" s="2" t="str">
        <v>2026-09-14</v>
      </c>
    </row>
    <row r="266" ht="48" customHeight="1">
      <c r="A266" s="15" t="str">
        <v>https://www.ti.com/product/TLV755P</v>
      </c>
      <c r="B266" s="2" t="n">
        <v>200</v>
      </c>
      <c r="C266" s="2" t="str">
        <v>HTTP reachable; product match not guaranteed</v>
      </c>
      <c r="D266" s="2" t="str">
        <v>Not independently content-verified</v>
      </c>
      <c r="E266" s="2" t="str">
        <v>2026-09-14</v>
      </c>
    </row>
    <row r="267" ht="48" customHeight="1">
      <c r="A267" s="15" t="str">
        <v>https://www.ti.com/product/TLV9002</v>
      </c>
      <c r="B267" s="2" t="n">
        <v>200</v>
      </c>
      <c r="C267" s="2" t="str">
        <v>HTTP reachable; product match not guaranteed</v>
      </c>
      <c r="D267" s="2" t="str">
        <v>Not independently content-verified</v>
      </c>
      <c r="E267" s="2" t="str">
        <v>2026-09-14</v>
      </c>
    </row>
    <row r="268" ht="48" customHeight="1">
      <c r="A268" s="15" t="str">
        <v>https://www.ti.com/product/TPS22918</v>
      </c>
      <c r="B268" s="2" t="n">
        <v>200</v>
      </c>
      <c r="C268" s="2" t="str">
        <v>HTTP reachable; product match not guaranteed</v>
      </c>
      <c r="D268" s="2" t="str">
        <v>Not independently content-verified</v>
      </c>
      <c r="E268" s="2" t="str">
        <v>2026-09-14</v>
      </c>
    </row>
    <row r="269" ht="28" customHeight="1">
      <c r="A269" s="2"/>
      <c r="B269" s="2"/>
      <c r="C269" s="2"/>
      <c r="D269" s="2"/>
      <c r="E269" s="2"/>
    </row>
    <row r="270" ht="28" customHeight="1">
      <c r="A270" s="2"/>
      <c r="B270" s="2"/>
      <c r="C270" s="2"/>
      <c r="D270" s="2"/>
      <c r="E270" s="2"/>
    </row>
  </sheetData>
  <hyperlinks>
    <hyperlink ref="A8" r:id="procurementLink0"/>
    <hyperlink ref="A9" r:id="procurementLink1"/>
    <hyperlink ref="A10" r:id="procurementLink2"/>
    <hyperlink ref="A11" r:id="procurementLink3"/>
    <hyperlink ref="A12" r:id="procurementLink4"/>
    <hyperlink ref="A13" r:id="procurementLink5"/>
    <hyperlink ref="A14" r:id="procurementLink6"/>
    <hyperlink ref="A15" r:id="procurementLink7"/>
    <hyperlink ref="A16" r:id="procurementLink8"/>
    <hyperlink ref="A17" r:id="procurementLink9"/>
    <hyperlink ref="A18" r:id="procurementLink10"/>
    <hyperlink ref="A19" r:id="procurementLink11"/>
    <hyperlink ref="A20" r:id="procurementLink12"/>
    <hyperlink ref="A21" r:id="procurementLink13"/>
    <hyperlink ref="A22" r:id="procurementLink14"/>
    <hyperlink ref="A23" r:id="procurementLink15"/>
    <hyperlink ref="A24" r:id="procurementLink16"/>
    <hyperlink ref="A25" r:id="procurementLink17"/>
    <hyperlink ref="A26" r:id="procurementLink18"/>
    <hyperlink ref="A27" r:id="procurementLink19"/>
    <hyperlink ref="A28" r:id="procurementLink20"/>
    <hyperlink ref="A29" r:id="procurementLink21"/>
    <hyperlink ref="A30" r:id="procurementLink22"/>
    <hyperlink ref="A31" r:id="procurementLink23"/>
    <hyperlink ref="A32" r:id="procurementLink24"/>
    <hyperlink ref="A33" r:id="procurementLink25"/>
    <hyperlink ref="A34" r:id="procurementLink26"/>
    <hyperlink ref="A35" r:id="procurementLink27"/>
    <hyperlink ref="A36" r:id="procurementLink28"/>
    <hyperlink ref="A37" r:id="procurementLink29"/>
    <hyperlink ref="A38" r:id="procurementLink30"/>
    <hyperlink ref="A39" r:id="procurementLink31"/>
    <hyperlink ref="A40" r:id="procurementLink32"/>
    <hyperlink ref="A41" r:id="procurementLink33"/>
    <hyperlink ref="A42" r:id="procurementLink34"/>
    <hyperlink ref="A43" r:id="procurementLink35"/>
    <hyperlink ref="A44" r:id="procurementLink36"/>
    <hyperlink ref="A45" r:id="procurementLink37"/>
    <hyperlink ref="A46" r:id="procurementLink38"/>
    <hyperlink ref="A47" r:id="procurementLink39"/>
    <hyperlink ref="A48" r:id="procurementLink40"/>
    <hyperlink ref="A49" r:id="procurementLink41"/>
    <hyperlink ref="A50" r:id="procurementLink42"/>
    <hyperlink ref="A51" r:id="procurementLink43"/>
    <hyperlink ref="A52" r:id="procurementLink44"/>
    <hyperlink ref="A53" r:id="procurementLink45"/>
    <hyperlink ref="A54" r:id="procurementLink46"/>
    <hyperlink ref="A55" r:id="procurementLink47"/>
    <hyperlink ref="A56" r:id="procurementLink48"/>
    <hyperlink ref="A57" r:id="procurementLink49"/>
    <hyperlink ref="A58" r:id="procurementLink50"/>
    <hyperlink ref="A59" r:id="procurementLink51"/>
    <hyperlink ref="A60" r:id="procurementLink52"/>
    <hyperlink ref="A61" r:id="procurementLink53"/>
    <hyperlink ref="A62" r:id="procurementLink54"/>
    <hyperlink ref="A63" r:id="procurementLink55"/>
    <hyperlink ref="A64" r:id="procurementLink56"/>
    <hyperlink ref="A65" r:id="procurementLink57"/>
    <hyperlink ref="A66" r:id="procurementLink58"/>
    <hyperlink ref="A67" r:id="procurementLink59"/>
    <hyperlink ref="A68" r:id="procurementLink60"/>
    <hyperlink ref="A69" r:id="procurementLink61"/>
    <hyperlink ref="A70" r:id="procurementLink62"/>
    <hyperlink ref="A71" r:id="procurementLink63"/>
    <hyperlink ref="A72" r:id="procurementLink64"/>
    <hyperlink ref="A73" r:id="procurementLink65"/>
    <hyperlink ref="A74" r:id="procurementLink66"/>
    <hyperlink ref="A75" r:id="procurementLink67"/>
    <hyperlink ref="A76" r:id="procurementLink68"/>
    <hyperlink ref="A77" r:id="procurementLink69"/>
    <hyperlink ref="A78" r:id="procurementLink70"/>
    <hyperlink ref="A79" r:id="procurementLink71"/>
    <hyperlink ref="A80" r:id="procurementLink72"/>
    <hyperlink ref="A81" r:id="procurementLink73"/>
    <hyperlink ref="A82" r:id="procurementLink74"/>
    <hyperlink ref="A83" r:id="procurementLink75"/>
    <hyperlink ref="A84" r:id="procurementLink76"/>
    <hyperlink ref="A85" r:id="procurementLink77"/>
    <hyperlink ref="A86" r:id="procurementLink78"/>
    <hyperlink ref="A87" r:id="procurementLink79"/>
    <hyperlink ref="A88" r:id="procurementLink80"/>
    <hyperlink ref="A89" r:id="procurementLink81"/>
    <hyperlink ref="A90" r:id="procurementLink82"/>
    <hyperlink ref="A91" r:id="procurementLink83"/>
    <hyperlink ref="A92" r:id="procurementLink84"/>
    <hyperlink ref="A93" r:id="procurementLink85"/>
    <hyperlink ref="A94" r:id="procurementLink86"/>
    <hyperlink ref="A95" r:id="procurementLink87"/>
    <hyperlink ref="A96" r:id="procurementLink88"/>
    <hyperlink ref="A97" r:id="procurementLink89"/>
    <hyperlink ref="A98" r:id="procurementLink90"/>
    <hyperlink ref="A99" r:id="procurementLink91"/>
    <hyperlink ref="A100" r:id="procurementLink92"/>
    <hyperlink ref="A101" r:id="procurementLink93"/>
    <hyperlink ref="A102" r:id="procurementLink94"/>
    <hyperlink ref="A103" r:id="procurementLink95"/>
    <hyperlink ref="A104" r:id="procurementLink96"/>
    <hyperlink ref="A105" r:id="procurementLink97"/>
    <hyperlink ref="A106" r:id="procurementLink98"/>
    <hyperlink ref="A107" r:id="procurementLink99"/>
    <hyperlink ref="A108" r:id="procurementLink100"/>
    <hyperlink ref="A109" r:id="procurementLink101"/>
    <hyperlink ref="A110" r:id="procurementLink102"/>
    <hyperlink ref="A111" r:id="procurementLink103"/>
    <hyperlink ref="A112" r:id="procurementLink104"/>
    <hyperlink ref="A113" r:id="procurementLink105"/>
    <hyperlink ref="A114" r:id="procurementLink106"/>
    <hyperlink ref="A115" r:id="procurementLink107"/>
    <hyperlink ref="A116" r:id="procurementLink108"/>
    <hyperlink ref="A117" r:id="procurementLink109"/>
    <hyperlink ref="A118" r:id="procurementLink110"/>
    <hyperlink ref="A119" r:id="procurementLink111"/>
    <hyperlink ref="A120" r:id="procurementLink112"/>
    <hyperlink ref="A121" r:id="procurementLink113"/>
    <hyperlink ref="A122" r:id="procurementLink114"/>
    <hyperlink ref="A123" r:id="procurementLink115"/>
    <hyperlink ref="A124" r:id="procurementLink116"/>
    <hyperlink ref="A125" r:id="procurementLink117"/>
    <hyperlink ref="A126" r:id="procurementLink118"/>
    <hyperlink ref="A127" r:id="procurementLink119"/>
    <hyperlink ref="A128" r:id="procurementLink120"/>
    <hyperlink ref="A129" r:id="procurementLink121"/>
    <hyperlink ref="A130" r:id="procurementLink122"/>
    <hyperlink ref="A131" r:id="procurementLink123"/>
    <hyperlink ref="A132" r:id="procurementLink124"/>
    <hyperlink ref="A133" r:id="procurementLink125"/>
    <hyperlink ref="A134" r:id="procurementLink126"/>
    <hyperlink ref="A135" r:id="procurementLink127"/>
    <hyperlink ref="A136" r:id="procurementLink128"/>
    <hyperlink ref="A137" r:id="procurementLink129"/>
    <hyperlink ref="A138" r:id="procurementLink130"/>
    <hyperlink ref="A139" r:id="procurementLink131"/>
    <hyperlink ref="A140" r:id="procurementLink132"/>
    <hyperlink ref="A141" r:id="procurementLink133"/>
    <hyperlink ref="A142" r:id="procurementLink134"/>
    <hyperlink ref="A143" r:id="procurementLink135"/>
    <hyperlink ref="A144" r:id="procurementLink136"/>
    <hyperlink ref="A145" r:id="procurementLink137"/>
    <hyperlink ref="A146" r:id="procurementLink138"/>
    <hyperlink ref="A147" r:id="procurementLink139"/>
    <hyperlink ref="A148" r:id="procurementLink140"/>
    <hyperlink ref="A149" r:id="procurementLink141"/>
    <hyperlink ref="A150" r:id="procurementLink142"/>
    <hyperlink ref="A151" r:id="procurementLink143"/>
    <hyperlink ref="A152" r:id="procurementLink144"/>
    <hyperlink ref="A153" r:id="procurementLink145"/>
    <hyperlink ref="A154" r:id="procurementLink146"/>
    <hyperlink ref="A155" r:id="procurementLink147"/>
    <hyperlink ref="A156" r:id="procurementLink148"/>
    <hyperlink ref="A157" r:id="procurementLink149"/>
    <hyperlink ref="A158" r:id="procurementLink150"/>
    <hyperlink ref="A159" r:id="procurementLink151"/>
    <hyperlink ref="A160" r:id="procurementLink152"/>
    <hyperlink ref="A161" r:id="procurementLink153"/>
    <hyperlink ref="A162" r:id="procurementLink154"/>
    <hyperlink ref="A163" r:id="procurementLink155"/>
    <hyperlink ref="A164" r:id="procurementLink156"/>
    <hyperlink ref="A165" r:id="procurementLink157"/>
    <hyperlink ref="A166" r:id="procurementLink158"/>
    <hyperlink ref="A167" r:id="procurementLink159"/>
    <hyperlink ref="A168" r:id="procurementLink160"/>
    <hyperlink ref="A169" r:id="procurementLink161"/>
    <hyperlink ref="A170" r:id="procurementLink162"/>
    <hyperlink ref="A171" r:id="procurementLink163"/>
    <hyperlink ref="A172" r:id="procurementLink164"/>
    <hyperlink ref="A173" r:id="procurementLink165"/>
    <hyperlink ref="A174" r:id="procurementLink166"/>
    <hyperlink ref="A175" r:id="procurementLink167"/>
    <hyperlink ref="A176" r:id="procurementLink168"/>
    <hyperlink ref="A177" r:id="procurementLink169"/>
    <hyperlink ref="A178" r:id="procurementLink170"/>
    <hyperlink ref="A179" r:id="procurementLink171"/>
    <hyperlink ref="A180" r:id="procurementLink172"/>
    <hyperlink ref="A181" r:id="procurementLink173"/>
    <hyperlink ref="A182" r:id="procurementLink174"/>
    <hyperlink ref="A183" r:id="procurementLink175"/>
    <hyperlink ref="A184" r:id="procurementLink176"/>
    <hyperlink ref="A185" r:id="procurementLink177"/>
    <hyperlink ref="A186" r:id="procurementLink178"/>
    <hyperlink ref="A187" r:id="procurementLink179"/>
    <hyperlink ref="A188" r:id="procurementLink180"/>
    <hyperlink ref="A189" r:id="procurementLink181"/>
    <hyperlink ref="A190" r:id="procurementLink182"/>
    <hyperlink ref="A191" r:id="procurementLink183"/>
    <hyperlink ref="A192" r:id="procurementLink184"/>
    <hyperlink ref="A193" r:id="procurementLink185"/>
    <hyperlink ref="A194" r:id="procurementLink186"/>
    <hyperlink ref="A195" r:id="procurementLink187"/>
    <hyperlink ref="A196" r:id="procurementLink188"/>
    <hyperlink ref="A197" r:id="procurementLink189"/>
    <hyperlink ref="A198" r:id="procurementLink190"/>
    <hyperlink ref="A199" r:id="procurementLink191"/>
    <hyperlink ref="A200" r:id="procurementLink192"/>
    <hyperlink ref="A201" r:id="procurementLink193"/>
    <hyperlink ref="A202" r:id="procurementLink194"/>
    <hyperlink ref="A203" r:id="procurementLink195"/>
    <hyperlink ref="A204" r:id="procurementLink196"/>
    <hyperlink ref="A205" r:id="procurementLink197"/>
    <hyperlink ref="A206" r:id="procurementLink198"/>
    <hyperlink ref="A207" r:id="procurementLink199"/>
    <hyperlink ref="A208" r:id="procurementLink200"/>
    <hyperlink ref="A209" r:id="procurementLink201"/>
    <hyperlink ref="A210" r:id="procurementLink202"/>
    <hyperlink ref="A211" r:id="procurementLink203"/>
    <hyperlink ref="A212" r:id="procurementLink204"/>
    <hyperlink ref="A213" r:id="procurementLink205"/>
    <hyperlink ref="A214" r:id="procurementLink206"/>
    <hyperlink ref="A215" r:id="procurementLink207"/>
    <hyperlink ref="A216" r:id="procurementLink208"/>
    <hyperlink ref="A217" r:id="procurementLink209"/>
    <hyperlink ref="A218" r:id="procurementLink210"/>
    <hyperlink ref="A219" r:id="procurementLink211"/>
    <hyperlink ref="A220" r:id="procurementLink212"/>
    <hyperlink ref="A221" r:id="procurementLink213"/>
    <hyperlink ref="A222" r:id="procurementLink214"/>
    <hyperlink ref="A223" r:id="procurementLink215"/>
    <hyperlink ref="A224" r:id="procurementLink216"/>
    <hyperlink ref="A225" r:id="procurementLink217"/>
    <hyperlink ref="A226" r:id="procurementLink218"/>
    <hyperlink ref="A227" r:id="procurementLink219"/>
    <hyperlink ref="A228" r:id="procurementLink220"/>
    <hyperlink ref="A229" r:id="procurementLink221"/>
    <hyperlink ref="A230" r:id="procurementLink222"/>
    <hyperlink ref="A231" r:id="procurementLink223"/>
    <hyperlink ref="A232" r:id="procurementLink224"/>
    <hyperlink ref="A233" r:id="procurementLink225"/>
    <hyperlink ref="A234" r:id="procurementLink226"/>
    <hyperlink ref="A235" r:id="procurementLink227"/>
    <hyperlink ref="A236" r:id="procurementLink228"/>
    <hyperlink ref="A237" r:id="procurementLink229"/>
    <hyperlink ref="A238" r:id="procurementLink230"/>
    <hyperlink ref="A239" r:id="procurementLink231"/>
    <hyperlink ref="A240" r:id="procurementLink232"/>
    <hyperlink ref="A241" r:id="procurementLink233"/>
    <hyperlink ref="A242" r:id="procurementLink234"/>
    <hyperlink ref="A243" r:id="procurementLink235"/>
    <hyperlink ref="A244" r:id="procurementLink236"/>
    <hyperlink ref="A245" r:id="procurementLink237"/>
    <hyperlink ref="A246" r:id="procurementLink238"/>
    <hyperlink ref="A247" r:id="procurementLink239"/>
    <hyperlink ref="A248" r:id="procurementLink240"/>
    <hyperlink ref="A249" r:id="procurementLink241"/>
    <hyperlink ref="A250" r:id="procurementLink242"/>
    <hyperlink ref="A251" r:id="procurementLink243"/>
    <hyperlink ref="A252" r:id="procurementLink244"/>
    <hyperlink ref="A253" r:id="procurementLink245"/>
    <hyperlink ref="A254" r:id="procurementLink246"/>
    <hyperlink ref="A255" r:id="procurementLink247"/>
    <hyperlink ref="A256" r:id="procurementLink248"/>
    <hyperlink ref="A257" r:id="procurementLink249"/>
    <hyperlink ref="A258" r:id="procurementLink250"/>
    <hyperlink ref="A259" r:id="procurementLink251"/>
    <hyperlink ref="A260" r:id="procurementLink252"/>
    <hyperlink ref="A261" r:id="procurementLink253"/>
    <hyperlink ref="A262" r:id="procurementLink254"/>
    <hyperlink ref="A263" r:id="procurementLink255"/>
    <hyperlink ref="A264" r:id="procurementLink256"/>
    <hyperlink ref="A265" r:id="procurementLink257"/>
    <hyperlink ref="A266" r:id="procurementLink258"/>
    <hyperlink ref="A267" r:id="procurementLink259"/>
    <hyperlink ref="A268" r:id="procurementLink260"/>
  </hyperlinks>
  <pageMargins left="0.7" right="0.7" top="0.75" bottom="0.75" header="0.3" footer="0.3"/>
</worksheet>
</file>