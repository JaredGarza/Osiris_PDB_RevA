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a87797858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ing BOM" sheetId="1" r:id="Rf84e0f0d73684e1c"/>
    <x:sheet xmlns:r="http://schemas.openxmlformats.org/officeDocument/2006/relationships" name="Engineering Detail" sheetId="2" r:id="R18ff7f6742e0468e"/>
    <x:sheet xmlns:r="http://schemas.openxmlformats.org/officeDocument/2006/relationships" name="Link Gaps" sheetId="3" r:id="R188c9dd41383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0"/>
  </x:numFmts>
  <x:fonts count="8">
    <x:font>
      <x:sz val="11"/>
      <x:name val="Carlito"/>
    </x:font>
    <x:font>
      <x:b/>
      <x:sz val="16"/>
      <x:name val="Carlito"/>
    </x:font>
    <x:font>
      <x:b/>
      <x:sz val="10"/>
      <x:color rgb="FF172B4D"/>
      <x:name val="Arial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4"/>
      <x:color rgb="FF17365D"/>
      <x:name val="Arial"/>
    </x:font>
    <x:font>
      <x:sz val="10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cbbbc9e1b445a" /><Relationship Type="http://schemas.openxmlformats.org/officeDocument/2006/relationships/theme" Target="/xl/theme/theme1.xml" Id="R63eb251f91634741" /><Relationship Type="http://schemas.openxmlformats.org/officeDocument/2006/relationships/sharedStrings" Target="/xl/sharedStrings.xml" Id="R8479ea76e2c74934" /><Relationship Type="http://schemas.openxmlformats.org/officeDocument/2006/relationships/worksheet" Target="/xl/worksheets/sheet1.xml" Id="Rf84e0f0d73684e1c" /><Relationship Type="http://schemas.openxmlformats.org/officeDocument/2006/relationships/worksheet" Target="/xl/worksheets/sheet2.xml" Id="R18ff7f6742e0468e" /><Relationship Type="http://schemas.openxmlformats.org/officeDocument/2006/relationships/worksheet" Target="/xl/worksheets/sheet3.xml" Id="R188c9dd413834738" /></Relationships>
</file>

<file path=xl/tables/table1.xml><?xml version="1.0" encoding="utf-8"?>
<x:table xmlns:x="http://schemas.openxmlformats.org/spreadsheetml/2006/main" id="1" name="PurchasingParts" displayName="PurchasingParts" ref="A9:O52" headerRowCount="1" totalsRowCount="0" totalsRowShown="0">
  <x:tableColumns count="15">
    <x:tableColumn id="1" name="Category"/>
    <x:tableColumn id="2" name="References"/>
    <x:tableColumn id="3" name="Value / Part"/>
    <x:tableColumn id="4" name="Manufacturer"/>
    <x:tableColumn id="5" name="Manufacturer P/N"/>
    <x:tableColumn id="6" name="Qty / Board"/>
    <x:tableColumn id="7" name="Board Count (X)"/>
    <x:tableColumn id="8" name="Total Qty"/>
    <x:tableColumn id="9" name="Unit Cost (USD)"/>
    <x:tableColumn id="10" name="Cost / Board"/>
    <x:tableColumn id="11" name="Total Cost"/>
    <x:tableColumn id="12" name="Distributor"/>
    <x:tableColumn id="13" name="Buy Link"/>
    <x:tableColumn id="14" name="Source URL"/>
    <x:tableColumn id="15" name="Procurement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ff66858d909b4554" /><ns0:Relationship Id="rIdLink1" Type="http://schemas.openxmlformats.org/officeDocument/2006/relationships/hyperlink" Target="https://www.digikey.com/en/products/detail/tdk-corporation/C2012C0G2A223J125AC/5023347" TargetMode="External" /><ns0:Relationship Id="rIdLink2" Type="http://schemas.openxmlformats.org/officeDocument/2006/relationships/hyperlink" Target="https://www.digikey.com/en/products/detail/tdk/C2012X7R1H105K125AB/2732982" TargetMode="External" /><ns0:Relationship Id="rIdLink3" Type="http://schemas.openxmlformats.org/officeDocument/2006/relationships/hyperlink" Target="https://www.digikey.com/en/products/detail/kemet/C0603C104K4RACTU/411095" TargetMode="External" /><ns0:Relationship Id="rIdLink4" Type="http://schemas.openxmlformats.org/officeDocument/2006/relationships/hyperlink" Target="https://www.digikey.com/en/products/detail/tdk/C3216X7R1H106K160AC/9991386" TargetMode="External" /><ns0:Relationship Id="rIdLink5" Type="http://schemas.openxmlformats.org/officeDocument/2006/relationships/hyperlink" Target="https://www.digikey.com/en/products/detail/tdk-corporation/C2012X7R1A106K125AC/2619198" TargetMode="External" /><ns0:Relationship Id="rIdLink6" Type="http://schemas.openxmlformats.org/officeDocument/2006/relationships/hyperlink" Target="https://www.digikey.com/en/products/detail/tdk/C1608X7R1H104K080AA/513811" TargetMode="External" /><ns0:Relationship Id="rIdLink7" Type="http://schemas.openxmlformats.org/officeDocument/2006/relationships/hyperlink" Target="https://www.mouser.com/ProductDetail/TDK/B32529C0105J189?qs=Xovllr2ZOuY15IPkCXPF9A%3D%3D" TargetMode="External" /><ns0:Relationship Id="rIdLink8" Type="http://schemas.openxmlformats.org/officeDocument/2006/relationships/hyperlink" Target="https://www.mouser.com/en/ProductDetail/Bourns/SMAJ24CA?qs=A3H9pljuJ8RsSQb8zLkILA%3D%3D" TargetMode="External" /><ns0:Relationship Id="rIdLink9" Type="http://schemas.openxmlformats.org/officeDocument/2006/relationships/hyperlink" Target="https://www.mouser.com/c/?q=STPST10H100SB-TR" TargetMode="External" /><ns0:Relationship Id="rIdLink10" Type="http://schemas.openxmlformats.org/officeDocument/2006/relationships/hyperlink" Target="https://www.mouser.com/ProductDetail/Littelfuse/0297004.WXNV?qs=KOeOmFnJLTo2xybF75gK9A%3D%3D" TargetMode="External" /><ns0:Relationship Id="rIdLink11" Type="http://schemas.openxmlformats.org/officeDocument/2006/relationships/hyperlink" Target="https://www.mouser.com/c/?q=3-140-177" TargetMode="External" /><ns0:Relationship Id="rIdLink12" Type="http://schemas.openxmlformats.org/officeDocument/2006/relationships/hyperlink" Target="https://www.mouser.com/c/?q=1932588" TargetMode="External" /><ns0:Relationship Id="rIdLink13" Type="http://schemas.openxmlformats.org/officeDocument/2006/relationships/hyperlink" Target="https://www.mouser.com/ProductDetail/JST-Commercial/BM04B-GHS-TBTLFSN" TargetMode="External" /><ns0:Relationship Id="rIdLink14" Type="http://schemas.openxmlformats.org/officeDocument/2006/relationships/hyperlink" Target="https://www.mouser.com/c/?q=XT60PW-F" TargetMode="External" /><ns0:Relationship Id="rIdLink15" Type="http://schemas.openxmlformats.org/officeDocument/2006/relationships/hyperlink" Target="https://www.digikey.com/en/products/detail/infineon-technologies/ISC015N06NM5LF2ATMA1/22157619" TargetMode="External" /><ns0:Relationship Id="rIdLink16" Type="http://schemas.openxmlformats.org/officeDocument/2006/relationships/hyperlink" Target="https://www.mouser.com/c/?q=BSC070N10NS5ATMA1" TargetMode="External" /><ns0:Relationship Id="rIdLink17" Type="http://schemas.openxmlformats.org/officeDocument/2006/relationships/hyperlink" Target="https://www.digikey.com/en/products/detail/yageo/RC0805FR-07237KL/727754" TargetMode="External" /><ns0:Relationship Id="rIdLink18" Type="http://schemas.openxmlformats.org/officeDocument/2006/relationships/hyperlink" Target="https://www.digikey.com/en/products/detail/yageo/RC0805FR-0711K8L/730505" TargetMode="External" /><ns0:Relationship Id="rIdLink19" Type="http://schemas.openxmlformats.org/officeDocument/2006/relationships/hyperlink" Target="https://www.mouser.com/ProductDetail/YAGEO/RC0805FR-072ML" TargetMode="External" /><ns0:Relationship Id="rIdLink20" Type="http://schemas.openxmlformats.org/officeDocument/2006/relationships/hyperlink" Target="https://www.digikey.com/en/products/detail/yageo/RC0805FR-0722KL/730683" TargetMode="External" /><ns0:Relationship Id="rIdLink21" Type="http://schemas.openxmlformats.org/officeDocument/2006/relationships/hyperlink" Target="https://www.mouser.com/ProductDetail/Ohmite/FC4L64R005FER" TargetMode="External" /><ns0:Relationship Id="rIdLink22" Type="http://schemas.openxmlformats.org/officeDocument/2006/relationships/hyperlink" Target="https://www.mouser.com/ProductDetail/YAGEO/RC0805FR-07680KL" TargetMode="External" /><ns0:Relationship Id="rIdLink23" Type="http://schemas.openxmlformats.org/officeDocument/2006/relationships/hyperlink" Target="https://www.mouser.com/en/ProductDetail/YAGEO/RC0805FR-07200KL" TargetMode="External" /><ns0:Relationship Id="rIdLink24" Type="http://schemas.openxmlformats.org/officeDocument/2006/relationships/hyperlink" Target="https://www.digikey.com/en/products/detail/yageo/RC0805FR-0710RL/730481" TargetMode="External" /><ns0:Relationship Id="rIdLink25" Type="http://schemas.openxmlformats.org/officeDocument/2006/relationships/hyperlink" Target="https://www.digikey.com/en/products/detail/yageo/RC0805FR-074K7L/727929" TargetMode="External" /><ns0:Relationship Id="rIdLink26" Type="http://schemas.openxmlformats.org/officeDocument/2006/relationships/hyperlink" Target="https://www.digikey.com/en/products/detail/yageo/RC0805FR-071K58L/730449" TargetMode="External" /><ns0:Relationship Id="rIdLink27" Type="http://schemas.openxmlformats.org/officeDocument/2006/relationships/hyperlink" Target="https://www.digikey.com/en/products/detail/yageo/RC0805FR-071KL/727444" TargetMode="External" /><ns0:Relationship Id="rIdLink28" Type="http://schemas.openxmlformats.org/officeDocument/2006/relationships/hyperlink" Target="https://www.digikey.com/en/products/detail/yageo/RC0805FR-0754K9L/728029" TargetMode="External" /><ns0:Relationship Id="rIdLink29" Type="http://schemas.openxmlformats.org/officeDocument/2006/relationships/hyperlink" Target="https://www.digikey.com/en/products/detail/yageo/RC0805JR-0722ML/5919060" TargetMode="External" /><ns0:Relationship Id="rIdLink30" Type="http://schemas.openxmlformats.org/officeDocument/2006/relationships/hyperlink" Target="https://www.digikey.com/en/products/detail/yageo/RC0805FR-0710KL/727535" TargetMode="External" /><ns0:Relationship Id="rIdLink31" Type="http://schemas.openxmlformats.org/officeDocument/2006/relationships/hyperlink" Target="https://www.mouser.com/c/?q=CRCW25121001FKEGHP" TargetMode="External" /><ns0:Relationship Id="rIdLink32" Type="http://schemas.openxmlformats.org/officeDocument/2006/relationships/hyperlink" Target="https://www.mouser.com/c/?q=CRCW25121R00FKEGHP" TargetMode="External" /><ns0:Relationship Id="rIdLink33" Type="http://schemas.openxmlformats.org/officeDocument/2006/relationships/hyperlink" Target="https://www.mouser.com/c/?q=RC0805FR-07100RL" TargetMode="External" /><ns0:Relationship Id="rIdLink34" Type="http://schemas.openxmlformats.org/officeDocument/2006/relationships/hyperlink" Target="https://www.newark.com/analog-devices/ltc4368hms-1-trpbf/battery-protector-2-5v-60v-5ua/dp/17AN6956" TargetMode="External" /><ns0:Relationship Id="rIdLink35" Type="http://schemas.openxmlformats.org/officeDocument/2006/relationships/hyperlink" Target="https://www.digikey.com/en/products/detail/texas-instruments/INA228AIDGSR/13691042" TargetMode="External" /><ns0:Relationship Id="rIdLink36" Type="http://schemas.openxmlformats.org/officeDocument/2006/relationships/hyperlink" Target="https://www.digikey.com/en/products/detail/analog-devices-inc/LT3010EMS8E-TRPBF/960041" TargetMode="External" /><ns0:Relationship Id="rIdLink37" Type="http://schemas.openxmlformats.org/officeDocument/2006/relationships/hyperlink" Target="https://www.digikey.com/en/products/detail/nexperia-usa-inc/74AUP1G07GW-125/1300720" TargetMode="External" /><ns0:Relationship Id="rIdLink38" Type="http://schemas.openxmlformats.org/officeDocument/2006/relationships/hyperlink" Target="https://www.mouser.com/c/?q=LTC4359IMS8%23TRPBF" TargetMode="External" /><ns0:Relationship Id="rIdLink39" Type="http://schemas.openxmlformats.org/officeDocument/2006/relationships/hyperlink" Target="https://www.digikey.com/en/products/detail/keystone-electronics/3568/2137306" TargetMode="External" /></ns0:Relationships>
</file>

<file path=xl/worksheets/_rels/sheet2.xml.rels><?xml version='1.0' encoding='utf-8'?>
<ns0:Relationships xmlns:ns0="http://schemas.openxmlformats.org/package/2006/relationships"><ns0:Relationship Id="rIdLink1" Type="http://schemas.openxmlformats.org/officeDocument/2006/relationships/hyperlink" Target="https://product.tdk.com/en/search/capacitor/ceramic/mlcc/info?part_no=C2012C0G2A223J125AC" TargetMode="External" /><ns0:Relationship Id="rIdLink2" Type="http://schemas.openxmlformats.org/officeDocument/2006/relationships/hyperlink" Target="https://product.tdk.com/en/search/capacitor/ceramic/mlcc/info?part_no=C2012X7R1H105K125AB" TargetMode="External" /><ns0:Relationship Id="rIdLink3" Type="http://schemas.openxmlformats.org/officeDocument/2006/relationships/hyperlink" Target="file:///C:/Users/Time/Documents/GitHub/Osiris_PDB_RevA/Datasheets/KEMET_C0603C104K4RACTU.pdf" TargetMode="External" /><ns0:Relationship Id="rIdLink4" Type="http://schemas.openxmlformats.org/officeDocument/2006/relationships/hyperlink" Target="https://product.tdk.com/en/search/capacitor/ceramic/mlcc/info?part_no=C3216X7R1H106K160AC" TargetMode="External" /><ns0:Relationship Id="rIdLink5" Type="http://schemas.openxmlformats.org/officeDocument/2006/relationships/hyperlink" Target="file:///C:/Users/Time/Documents/GitHub/Osiris_PDB_RevA/Datasheets/KEMET_C0603C104K4RACTU.pdf" TargetMode="External" /><ns0:Relationship Id="rIdLink6" Type="http://schemas.openxmlformats.org/officeDocument/2006/relationships/hyperlink" Target="https://product.tdk.com/en/search/capacitor/ceramic/mlcc/info?part_no=C2012X7R1A106K125AC" TargetMode="External" /><ns0:Relationship Id="rIdLink7" Type="http://schemas.openxmlformats.org/officeDocument/2006/relationships/hyperlink" Target="https://product.tdk.com/en/search/capacitor/ceramic/mlcc/info?part_no=C1608X7R1H104K080AA" TargetMode="External" /><ns0:Relationship Id="rIdLink8" Type="http://schemas.openxmlformats.org/officeDocument/2006/relationships/hyperlink" Target="file:///C:/Users/Time/Documents/GitHub/Osiris_PDB_RevA/Datasheets/KEMET_C0603C104K4RACTU.pdf" TargetMode="External" /><ns0:Relationship Id="rIdLink9" Type="http://schemas.openxmlformats.org/officeDocument/2006/relationships/hyperlink" Target="https://product.tdk.com/en/search/capacitor/ceramic/mlcc/info?part_no=C3216X7R1H106K160AC" TargetMode="External" /><ns0:Relationship Id="rIdLink10" Type="http://schemas.openxmlformats.org/officeDocument/2006/relationships/hyperlink" Target="file:///C:/Users/Time/Documents/GitHub/Osiris_PDB_RevA/Datasheets/KEMET_C0603C104K4RACTU.pdf" TargetMode="External" /><ns0:Relationship Id="rIdLink11" Type="http://schemas.openxmlformats.org/officeDocument/2006/relationships/hyperlink" Target="https://product.tdk.com/en/search/capacitor/film/rfi_general/info?part_no=B32529C0105J189" TargetMode="External" /><ns0:Relationship Id="rIdLink12" Type="http://schemas.openxmlformats.org/officeDocument/2006/relationships/hyperlink" Target="https://product.tdk.com/en/search/capacitor/film/rfi_general/info?part_no=B32529C0105J189" TargetMode="External" /><ns0:Relationship Id="rIdLink13" Type="http://schemas.openxmlformats.org/officeDocument/2006/relationships/hyperlink" Target="https://product.tdk.com/en/search/capacitor/film/rfi_general/info?part_no=B32529C0105J189" TargetMode="External" /><ns0:Relationship Id="rIdLink14" Type="http://schemas.openxmlformats.org/officeDocument/2006/relationships/hyperlink" Target="https://product.tdk.com/en/search/capacitor/film/rfi_general/info?part_no=B32529C0105J189" TargetMode="External" /><ns0:Relationship Id="rIdLink15" Type="http://schemas.openxmlformats.org/officeDocument/2006/relationships/hyperlink" Target="https://product.tdk.com/en/search/capacitor/film/rfi_general/info?part_no=B32529C0105J189" TargetMode="External" /><ns0:Relationship Id="rIdLink16" Type="http://schemas.openxmlformats.org/officeDocument/2006/relationships/hyperlink" Target="https://product.tdk.com/en/search/capacitor/film/rfi_general/info?part_no=B32529C0105J189" TargetMode="External" /><ns0:Relationship Id="rIdLink17" Type="http://schemas.openxmlformats.org/officeDocument/2006/relationships/hyperlink" Target="file:///C:/Users/Time/Documents/GitHub/Osiris_PDB_RevA/Datasheets/Bourns_SMAJ_TVS.pdf" TargetMode="External" /><ns0:Relationship Id="rIdLink18" Type="http://schemas.openxmlformats.org/officeDocument/2006/relationships/hyperlink" Target="https://www.st.com/resource/en/datasheet/stpst10h100sb.pdf" TargetMode="External" /><ns0:Relationship Id="rIdLink19" Type="http://schemas.openxmlformats.org/officeDocument/2006/relationships/hyperlink" Target="file:///C:/Users/Time/Documents/GitHub/Osiris_PDB_RevA/Datasheets/Bourns_SMAJ_TVS.pdf" TargetMode="External" /><ns0:Relationship Id="rIdLink20" Type="http://schemas.openxmlformats.org/officeDocument/2006/relationships/hyperlink" Target="file:///C:/Users/Time/Documents/GitHub/Osiris_PDB_RevA/Datasheets/Keystone_3568.pdf" TargetMode="External" /><ns0:Relationship Id="rIdLink21" Type="http://schemas.openxmlformats.org/officeDocument/2006/relationships/hyperlink" Target="file:///C:/Users/Time/Documents/GitHub/Osiris_PDB_RevA/Datasheets/Littelfuse_297_MINI.pdf" TargetMode="External" /><ns0:Relationship Id="rIdLink22" Type="http://schemas.openxmlformats.org/officeDocument/2006/relationships/hyperlink" Target="https://www.schurter.com/en/datasheet/UHS" TargetMode="External" /><ns0:Relationship Id="rIdLink23" Type="http://schemas.openxmlformats.org/officeDocument/2006/relationships/hyperlink" Target="https://www.phoenixcontact.com/en-ca/products/printed-circuit-board-terminal-mkdsp-25-2-1500-1932588" TargetMode="External" /><ns0:Relationship Id="rIdLink24" Type="http://schemas.openxmlformats.org/officeDocument/2006/relationships/hyperlink" Target="file:///C:/Users/Time/Documents/GitHub/Osiris_PDB_RevA/Datasheets/JST_GH.pdf" TargetMode="External" /><ns0:Relationship Id="rIdLink25" Type="http://schemas.openxmlformats.org/officeDocument/2006/relationships/hyperlink" Target="https://www.phoenixcontact.com/en-ca/products/printed-circuit-board-terminal-mkdsp-25-2-1500-1932588" TargetMode="External" /><ns0:Relationship Id="rIdLink26" Type="http://schemas.openxmlformats.org/officeDocument/2006/relationships/hyperlink" Target="file:///C:/Users/Time/Documents/GitHub/Osiris_PDB_RevA/Datasheets/AMASS_XT60PW-F.pdf" TargetMode="External" /><ns0:Relationship Id="rIdLink27" Type="http://schemas.openxmlformats.org/officeDocument/2006/relationships/hyperlink" Target="file:///C:/Users/Time/Documents/GitHub/Osiris_PDB_RevA/Datasheets/Datasheet%20ISC015N06NM5LF2.pdf" TargetMode="External" /><ns0:Relationship Id="rIdLink28" Type="http://schemas.openxmlformats.org/officeDocument/2006/relationships/hyperlink" Target="file:///C:/Users/Time/Documents/GitHub/Osiris_PDB_RevA/Datasheets/Datasheet%20ISC015N06NM5LF2.pdf" TargetMode="External" /><ns0:Relationship Id="rIdLink29" Type="http://schemas.openxmlformats.org/officeDocument/2006/relationships/hyperlink" Target="https://www.infineon.com/part/BSC070N10NS5" TargetMode="External" /><ns0:Relationship Id="rIdLink30" Type="http://schemas.openxmlformats.org/officeDocument/2006/relationships/hyperlink" Target="https://yageogroup.com/component-documentation/download/specsheet/RC0805FR-07237KL" TargetMode="External" /><ns0:Relationship Id="rIdLink31" Type="http://schemas.openxmlformats.org/officeDocument/2006/relationships/hyperlink" Target="https://yageogroup.com/component-documentation/download/specsheet/RC0805FR-0711K8L" TargetMode="External" /><ns0:Relationship Id="rIdLink32" Type="http://schemas.openxmlformats.org/officeDocument/2006/relationships/hyperlink" Target="https://yageogroup.com/component-documentation/download/specsheet/RC0805FR-072ML" TargetMode="External" /><ns0:Relationship Id="rIdLink33" Type="http://schemas.openxmlformats.org/officeDocument/2006/relationships/hyperlink" Target="https://www.ohmite.com/res-fc4l/" TargetMode="External" /><ns0:Relationship Id="rIdLink34" Type="http://schemas.openxmlformats.org/officeDocument/2006/relationships/hyperlink" Target="https://yageogroup.com/component-documentation/download/specsheet/RC0805FR-071K58L" TargetMode="External" /><ns0:Relationship Id="rIdLink35" Type="http://schemas.openxmlformats.org/officeDocument/2006/relationships/hyperlink" Target="https://yageogroup.com/component-documentation/download/specsheet/RC0805FR-071KL" TargetMode="External" /><ns0:Relationship Id="rIdLink36" Type="http://schemas.openxmlformats.org/officeDocument/2006/relationships/hyperlink" Target="https://yageogroup.com/component-documentation/download/specsheet/RC0805FR-0754K9L" TargetMode="External" /><ns0:Relationship Id="rIdLink37" Type="http://schemas.openxmlformats.org/officeDocument/2006/relationships/hyperlink" Target="https://yageogroup.com/component-documentation/download/specsheet/RC0805JR-0722ML" TargetMode="External" /><ns0:Relationship Id="rIdLink38" Type="http://schemas.openxmlformats.org/officeDocument/2006/relationships/hyperlink" Target="https://www.vishay.com/docs/20043/crcwhpe3.pdf" TargetMode="External" /><ns0:Relationship Id="rIdLink39" Type="http://schemas.openxmlformats.org/officeDocument/2006/relationships/hyperlink" Target="https://www.vishay.com/docs/20043/crcwhpe3.pdf" TargetMode="External" /><ns0:Relationship Id="rIdLink40" Type="http://schemas.openxmlformats.org/officeDocument/2006/relationships/hyperlink" Target="https://yageogroup.com/component-documentation/download/specsheet/RC0805FR-07100RL" TargetMode="External" /><ns0:Relationship Id="rIdLink41" Type="http://schemas.openxmlformats.org/officeDocument/2006/relationships/hyperlink" Target="file:///C:/Users/Time/Documents/GitHub/Osiris_PDB_RevA/Datasheets/LTC4368%20%28Rev%20C%29.pdf" TargetMode="External" /><ns0:Relationship Id="rIdLink42" Type="http://schemas.openxmlformats.org/officeDocument/2006/relationships/hyperlink" Target="file:///C:/Users/Time/Documents/GitHub/Osiris_PDB_RevA/Datasheets/INA228.pdf" TargetMode="External" /><ns0:Relationship Id="rIdLink43" Type="http://schemas.openxmlformats.org/officeDocument/2006/relationships/hyperlink" Target="https://www.analog.com/media/en/technical-documentation/data-sheets/lt3010-3010-5.pdf" TargetMode="External" /><ns0:Relationship Id="rIdLink44" Type="http://schemas.openxmlformats.org/officeDocument/2006/relationships/hyperlink" Target="file:///C:/Users/Time/Documents/GitHub/Osiris_PDB_RevA/Datasheets/Nexperia_74AUP1G07.pdf" TargetMode="External" /><ns0:Relationship Id="rIdLink45" Type="http://schemas.openxmlformats.org/officeDocument/2006/relationships/hyperlink" Target="https://www.analog.com/media/en/technical-documentation/data-sheets/ltc4359.pdf" TargetMode="External" /><ns0:Relationship Id="rIdLink46" Type="http://schemas.openxmlformats.org/officeDocument/2006/relationships/hyperlink" Target="file:///C:/Users/Time/Documents/GitHub/Osiris_PDB_RevA/Datasheets/Keystone_3568.pdf" TargetMode="External" /></ns0:Relationships>
</file>

<file path=xl/worksheets/_rels/sheet3.xml.rels><?xml version='1.0' encoding='utf-8'?>
<ns0:Relationships xmlns:ns0="http://schemas.openxmlformats.org/package/2006/relationships"><ns0:Relationship Id="rIdLink1" Type="http://schemas.openxmlformats.org/officeDocument/2006/relationships/hyperlink" Target="https://www.mouser.com/ProductDetail/TDK/B32529C0105J189?qs=Xovllr2ZOuY15IPkCXPF9A%3D%3D" TargetMode="External" /><ns0:Relationship Id="rIdLink2" Type="http://schemas.openxmlformats.org/officeDocument/2006/relationships/hyperlink" Target="https://www.mouser.com/c/?q=STPST10H100SB-TR" TargetMode="External" /><ns0:Relationship Id="rIdLink3" Type="http://schemas.openxmlformats.org/officeDocument/2006/relationships/hyperlink" Target="https://www.mouser.com/c/?q=3-140-177" TargetMode="External" /><ns0:Relationship Id="rIdLink4" Type="http://schemas.openxmlformats.org/officeDocument/2006/relationships/hyperlink" Target="https://www.mouser.com/c/?q=1932588" TargetMode="External" /><ns0:Relationship Id="rIdLink5" Type="http://schemas.openxmlformats.org/officeDocument/2006/relationships/hyperlink" Target="https://www.mouser.com/c/?q=XT60PW-F" TargetMode="External" /><ns0:Relationship Id="rIdLink6" Type="http://schemas.openxmlformats.org/officeDocument/2006/relationships/hyperlink" Target="https://www.mouser.com/c/?q=BSC070N10NS5ATMA1" TargetMode="External" /><ns0:Relationship Id="rIdLink7" Type="http://schemas.openxmlformats.org/officeDocument/2006/relationships/hyperlink" Target="https://www.mouser.com/c/?q=CRCW25121001FKEGHP" TargetMode="External" /><ns0:Relationship Id="rIdLink8" Type="http://schemas.openxmlformats.org/officeDocument/2006/relationships/hyperlink" Target="https://www.mouser.com/c/?q=CRCW25121R00FKEGHP" TargetMode="External" /><ns0:Relationship Id="rIdLink9" Type="http://schemas.openxmlformats.org/officeDocument/2006/relationships/hyperlink" Target="https://www.mouser.com/c/?q=RC0805FR-07100RL" TargetMode="External" /><ns0:Relationship Id="rIdLink10" Type="http://schemas.openxmlformats.org/officeDocument/2006/relationships/hyperlink" Target="https://www.newark.com/analog-devices/ltc4368hms-1-trpbf/battery-protector-2-5v-60v-5ua/dp/17AN6956" TargetMode="External" /><ns0:Relationship Id="rIdLink11" Type="http://schemas.openxmlformats.org/officeDocument/2006/relationships/hyperlink" Target="https://www.mouser.com/c/?q=LTC4359IMS8%23TRPBF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 zoomScale="85" topLeftCell="B1"/>
  </sheetViews>
  <sheetFormatPr defaultRowHeight="15"/>
  <cols>
    <col min="1" max="1" width="2" customWidth="1" hidden="1"/>
    <col min="2" max="2" width="21" customWidth="1"/>
    <col min="3" max="3" width="22" customWidth="1"/>
    <col min="4" max="4" width="20" customWidth="1" hidden="1"/>
    <col min="5" max="5" width="30" customWidth="1"/>
    <col min="6" max="6" width="11" customWidth="1"/>
    <col min="7" max="7" width="10" customWidth="1" hidden="1"/>
    <col min="8" max="8" width="11" customWidth="1"/>
    <col min="9" max="9" width="12" customWidth="1"/>
    <col min="10" max="10" width="12" customWidth="1"/>
    <col min="11" max="11" width="12" customWidth="1"/>
    <col min="12" max="12" width="18" customWidth="1" hidden="1"/>
    <col min="13" max="13" width="15" customWidth="1"/>
    <col min="14" max="14" width="60" customWidth="1" hidden="1"/>
    <col min="15" max="15" width="75" customWidth="1" hidden="1"/>
  </cols>
  <sheetData>
    <row r="1" ht="26" customHeight="1">
      <c r="A1" s="22"/>
      <c r="B1" s="28" t="str">
        <v>Osiris PDB — Updated Purchasing &amp; Cost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22" customHeight="1">
      <c r="A2" s="10"/>
      <c r="B2" s="10" t="str">
        <v>Oct 1, 2026 design · USD · Budget prices carried over · 14 prices missing · Shipping/tax/assembly excluded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ht="22" customHeight="1" hidden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ht="28" customHeight="1">
      <c r="A4" s="10"/>
      <c r="B4" s="27" t="n">
        <v>5</v>
      </c>
      <c r="C4" s="10" t="str">
        <v>Boards to build</v>
      </c>
      <c r="D4" s="10"/>
      <c r="E4" s="19" t="str">
        <v>Priced cost / board</v>
      </c>
      <c r="F4" s="19" t="n">
        <f>SUM(J10:J52)</f>
        <v>31.410000000000004</v>
      </c>
      <c r="G4" s="19"/>
      <c r="H4" s="19" t="str">
        <v>Batch cost</v>
      </c>
      <c r="I4" s="19" t="n">
        <f>SUM(K10:K52)</f>
        <v>157.05</v>
      </c>
      <c r="J4" s="10" t="str">
        <v>Missing prices</v>
      </c>
      <c r="K4" s="23" t="n">
        <f>COUNTBLANK(I10:I52)</f>
        <v>14</v>
      </c>
      <c r="L4" s="10"/>
      <c r="M4" s="10"/>
      <c r="N4" s="10"/>
      <c r="O4" s="10"/>
    </row>
    <row r="5" ht="22" customHeight="1">
      <c r="A5" s="10"/>
      <c r="B5" s="10" t="str">
        <v>43 lines / 57 parts</v>
      </c>
      <c r="C5" s="10" t="str">
        <v>Blank prices excluded from totals. Edit yellow Unit Cost cells. Supplier searches are labeled Search.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ht="22" customHeight="1" hidden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22" customHeight="1" hidden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22" customHeight="1" hidden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30" customHeight="1">
      <c r="A9" s="9" t="str">
        <v>Category</v>
      </c>
      <c r="B9" s="9" t="str">
        <v>References</v>
      </c>
      <c r="C9" s="9" t="str">
        <v>Value / Part</v>
      </c>
      <c r="D9" s="9" t="str">
        <v>Manufacturer</v>
      </c>
      <c r="E9" s="9" t="str">
        <v>Manufacturer P/N</v>
      </c>
      <c r="F9" s="9" t="str">
        <v>Qty / Board</v>
      </c>
      <c r="G9" s="9" t="str">
        <v>Board Count (X)</v>
      </c>
      <c r="H9" s="9" t="str">
        <v>Total Qty</v>
      </c>
      <c r="I9" s="9" t="str">
        <v>Unit Cost (USD)</v>
      </c>
      <c r="J9" s="9" t="str">
        <v>Cost / Board</v>
      </c>
      <c r="K9" s="9" t="str">
        <v>Total Cost</v>
      </c>
      <c r="L9" s="9" t="str">
        <v>Distributor</v>
      </c>
      <c r="M9" s="9" t="str">
        <v>Buy Link</v>
      </c>
      <c r="N9" s="9" t="str">
        <v>Source URL</v>
      </c>
      <c r="O9" s="9" t="str">
        <v>Procurement Notes</v>
      </c>
    </row>
    <row r="10" ht="22" customHeight="1">
      <c r="A10" s="10" t="str">
        <v>Capacitor</v>
      </c>
      <c r="B10" s="10" t="str">
        <v>C1</v>
      </c>
      <c r="C10" s="10" t="str">
        <v>22n</v>
      </c>
      <c r="D10" s="10" t="str">
        <v>TDK</v>
      </c>
      <c r="E10" s="10" t="str">
        <v>C2012C0G2A223J125AC</v>
      </c>
      <c r="F10" s="23" t="n">
        <v>1</v>
      </c>
      <c r="G10" s="23" t="n">
        <f>$B$4</f>
        <v>5</v>
      </c>
      <c r="H10" s="23" t="n">
        <f>F10*G10</f>
        <v>5</v>
      </c>
      <c r="I10" s="24" t="n">
        <v>0.3</v>
      </c>
      <c r="J10" s="19" t="n">
        <f>IF(ISNUMBER(I10),F10*I10,"")</f>
        <v>0.3</v>
      </c>
      <c r="K10" s="19" t="n">
        <f>IF(ISNUMBER(I10),H10*I10,"")</f>
        <v>1.5</v>
      </c>
      <c r="L10" s="10" t="str">
        <v>DigiKey</v>
      </c>
      <c r="M10" s="29" t="str">
        <v>Supplier page</v>
      </c>
      <c r="N10" s="10" t="str">
        <v>https://www.digikey.com/en/products/detail/tdk-corporation/C2012C0G2A223J125AC/5023347</v>
      </c>
      <c r="O10" s="10" t="str">
        <v>Budget carried from supplied workbook (2026-09-16); price/stock not rechecked.</v>
      </c>
    </row>
    <row r="11" ht="22" customHeight="1">
      <c r="A11" s="10" t="str">
        <v>Capacitor</v>
      </c>
      <c r="B11" s="10" t="str">
        <v>C2</v>
      </c>
      <c r="C11" s="10" t="str">
        <v>1U0</v>
      </c>
      <c r="D11" s="10" t="str">
        <v>TDK</v>
      </c>
      <c r="E11" s="10" t="str">
        <v>C2012X7R1H105K125AB</v>
      </c>
      <c r="F11" s="23" t="n">
        <v>1</v>
      </c>
      <c r="G11" s="23" t="n">
        <f>$B$4</f>
        <v>5</v>
      </c>
      <c r="H11" s="23" t="n">
        <f>F11*G11</f>
        <v>5</v>
      </c>
      <c r="I11" s="24" t="n">
        <v>0.26</v>
      </c>
      <c r="J11" s="19" t="n">
        <f>IF(ISNUMBER(I11),F11*I11,"")</f>
        <v>0.26</v>
      </c>
      <c r="K11" s="19" t="n">
        <f>IF(ISNUMBER(I11),H11*I11,"")</f>
        <v>1.3</v>
      </c>
      <c r="L11" s="10" t="str">
        <v>DigiKey</v>
      </c>
      <c r="M11" s="29" t="str">
        <v>Supplier page</v>
      </c>
      <c r="N11" s="10" t="str">
        <v>https://www.digikey.com/en/products/detail/tdk/C2012X7R1H105K125AB/2732982</v>
      </c>
      <c r="O11" s="10" t="str">
        <v>Budget carried from supplied workbook (2026-09-16); price/stock not rechecked.</v>
      </c>
    </row>
    <row r="12" ht="22" customHeight="1">
      <c r="A12" s="10" t="str">
        <v>Capacitor</v>
      </c>
      <c r="B12" s="10" t="str">
        <v>C3, C5, C8, C10</v>
      </c>
      <c r="C12" s="10" t="str">
        <v>100n</v>
      </c>
      <c r="D12" s="10" t="str">
        <v>KEMET</v>
      </c>
      <c r="E12" s="10" t="str">
        <v>C0603C104K4RACTU</v>
      </c>
      <c r="F12" s="23" t="n">
        <v>4</v>
      </c>
      <c r="G12" s="23" t="n">
        <f>$B$4</f>
        <v>5</v>
      </c>
      <c r="H12" s="23" t="n">
        <f>F12*G12</f>
        <v>20</v>
      </c>
      <c r="I12" s="24" t="n">
        <v>0.13</v>
      </c>
      <c r="J12" s="19" t="n">
        <f>IF(ISNUMBER(I12),F12*I12,"")</f>
        <v>0.52</v>
      </c>
      <c r="K12" s="19" t="n">
        <f>IF(ISNUMBER(I12),H12*I12,"")</f>
        <v>2.6</v>
      </c>
      <c r="L12" s="10" t="str">
        <v>DigiKey</v>
      </c>
      <c r="M12" s="29" t="str">
        <v>Supplier page</v>
      </c>
      <c r="N12" s="10" t="str">
        <v>https://www.digikey.com/en/products/detail/kemet/C0603C104K4RACTU/411095</v>
      </c>
      <c r="O12" s="10" t="str">
        <v>Budget carried from supplied workbook (2026-09-16); price/stock not rechecked.</v>
      </c>
    </row>
    <row r="13" ht="22" customHeight="1">
      <c r="A13" s="10" t="str">
        <v>Capacitor</v>
      </c>
      <c r="B13" s="10" t="str">
        <v>C4, C9</v>
      </c>
      <c r="C13" s="10" t="str">
        <v>10u</v>
      </c>
      <c r="D13" s="10" t="str">
        <v>TDK</v>
      </c>
      <c r="E13" s="10" t="str">
        <v>C3216X7R1H106K160AC</v>
      </c>
      <c r="F13" s="23" t="n">
        <v>2</v>
      </c>
      <c r="G13" s="23" t="n">
        <f>$B$4</f>
        <v>5</v>
      </c>
      <c r="H13" s="23" t="n">
        <f>F13*G13</f>
        <v>10</v>
      </c>
      <c r="I13" s="24" t="n">
        <v>0.98</v>
      </c>
      <c r="J13" s="19" t="n">
        <f>IF(ISNUMBER(I13),F13*I13,"")</f>
        <v>1.96</v>
      </c>
      <c r="K13" s="19" t="n">
        <f>IF(ISNUMBER(I13),H13*I13,"")</f>
        <v>9.8</v>
      </c>
      <c r="L13" s="10" t="str">
        <v>DigiKey</v>
      </c>
      <c r="M13" s="29" t="str">
        <v>Supplier page</v>
      </c>
      <c r="N13" s="10" t="str">
        <v>https://www.digikey.com/en/products/detail/tdk/C3216X7R1H106K160AC/9991386</v>
      </c>
      <c r="O13" s="10" t="str">
        <v>Budget carried from supplied workbook (2026-09-16); price/stock not rechecked.</v>
      </c>
    </row>
    <row r="14" ht="22" customHeight="1">
      <c r="A14" s="10" t="str">
        <v>Capacitor</v>
      </c>
      <c r="B14" s="10" t="str">
        <v>C6</v>
      </c>
      <c r="C14" s="10" t="str">
        <v>10u</v>
      </c>
      <c r="D14" s="10" t="str">
        <v>TDK</v>
      </c>
      <c r="E14" s="10" t="str">
        <v>C2012X7R1A106K125AC</v>
      </c>
      <c r="F14" s="23" t="n">
        <v>1</v>
      </c>
      <c r="G14" s="23" t="n">
        <f>$B$4</f>
        <v>5</v>
      </c>
      <c r="H14" s="23" t="n">
        <f>F14*G14</f>
        <v>5</v>
      </c>
      <c r="I14" s="24" t="n">
        <v>0.33</v>
      </c>
      <c r="J14" s="19" t="n">
        <f>IF(ISNUMBER(I14),F14*I14,"")</f>
        <v>0.33</v>
      </c>
      <c r="K14" s="19" t="n">
        <f>IF(ISNUMBER(I14),H14*I14,"")</f>
        <v>1.6500000000000001</v>
      </c>
      <c r="L14" s="10" t="str">
        <v>DigiKey</v>
      </c>
      <c r="M14" s="29" t="str">
        <v>Supplier page</v>
      </c>
      <c r="N14" s="10" t="str">
        <v>https://www.digikey.com/en/products/detail/tdk-corporation/C2012X7R1A106K125AC/2619198</v>
      </c>
      <c r="O14" s="10" t="str">
        <v>Budget carried from supplied workbook (2026-09-16); price/stock not rechecked.</v>
      </c>
    </row>
    <row r="15" ht="22" customHeight="1">
      <c r="A15" s="10" t="str">
        <v>Capacitor</v>
      </c>
      <c r="B15" s="10" t="str">
        <v>C7</v>
      </c>
      <c r="C15" s="10" t="str">
        <v>100n</v>
      </c>
      <c r="D15" s="10" t="str">
        <v>TDK</v>
      </c>
      <c r="E15" s="10" t="str">
        <v>C1608X7R1H104K080AA</v>
      </c>
      <c r="F15" s="23" t="n">
        <v>1</v>
      </c>
      <c r="G15" s="23" t="n">
        <f>$B$4</f>
        <v>5</v>
      </c>
      <c r="H15" s="23" t="n">
        <f>F15*G15</f>
        <v>5</v>
      </c>
      <c r="I15" s="24" t="n">
        <v>0.1</v>
      </c>
      <c r="J15" s="19" t="n">
        <f>IF(ISNUMBER(I15),F15*I15,"")</f>
        <v>0.1</v>
      </c>
      <c r="K15" s="19" t="n">
        <f>IF(ISNUMBER(I15),H15*I15,"")</f>
        <v>0.5</v>
      </c>
      <c r="L15" s="10" t="str">
        <v>DigiKey</v>
      </c>
      <c r="M15" s="29" t="str">
        <v>Supplier page</v>
      </c>
      <c r="N15" s="10" t="str">
        <v>https://www.digikey.com/en/products/detail/tdk/C1608X7R1H104K080AA/513811</v>
      </c>
      <c r="O15" s="10" t="str">
        <v>Budget carried from supplied workbook (2026-09-16); price/stock not rechecked.</v>
      </c>
    </row>
    <row r="16" ht="22" customHeight="1">
      <c r="A16" s="10" t="str">
        <v>Capacitor</v>
      </c>
      <c r="B16" s="10" t="str">
        <v>C11, C12, C13, C14, C15, C16</v>
      </c>
      <c r="C16" s="10" t="str">
        <v>1u</v>
      </c>
      <c r="D16" s="10" t="str">
        <v>TDK</v>
      </c>
      <c r="E16" s="10" t="str">
        <v>B32529C0105J189</v>
      </c>
      <c r="F16" s="23" t="n">
        <v>6</v>
      </c>
      <c r="G16" s="23" t="n">
        <f>$B$4</f>
        <v>5</v>
      </c>
      <c r="H16" s="23" t="n">
        <f>F16*G16</f>
        <v>30</v>
      </c>
      <c r="I16" s="24"/>
      <c r="J16" s="19" t="str">
        <f>IF(ISNUMBER(I16),F16*I16,"")</f>
      </c>
      <c r="K16" s="19" t="str">
        <f>IF(ISNUMBER(I16),H16*I16,"")</f>
      </c>
      <c r="L16" s="10" t="str">
        <v>Mouser</v>
      </c>
      <c r="M16" s="29" t="str">
        <v>Supplier page</v>
      </c>
      <c r="N16" s="10" t="str">
        <v>https://www.mouser.com/ProductDetail/TDK/B32529C0105J189?qs=Xovllr2ZOuY15IPkCXPF9A%3D%3D</v>
      </c>
      <c r="O16" s="10" t="str">
        <v>Unit price needed; excluded from priced subtotal until entered.</v>
      </c>
    </row>
    <row r="17" ht="22" customHeight="1">
      <c r="A17" s="10" t="str">
        <v>Capacitor</v>
      </c>
      <c r="B17" s="10" t="str">
        <v>C17</v>
      </c>
      <c r="C17" s="10" t="str">
        <v>470u 35V LOW-ESR</v>
      </c>
      <c r="D17" s="10" t="str"/>
      <c r="E17" s="10" t="str">
        <v>TBD</v>
      </c>
      <c r="F17" s="23" t="n">
        <v>1</v>
      </c>
      <c r="G17" s="23" t="n">
        <f>$B$4</f>
        <v>5</v>
      </c>
      <c r="H17" s="23" t="n">
        <f>F17*G17</f>
        <v>5</v>
      </c>
      <c r="I17" s="24"/>
      <c r="J17" s="19" t="str">
        <f>IF(ISNUMBER(I17),F17*I17,"")</f>
      </c>
      <c r="K17" s="19" t="str">
        <f>IF(ISNUMBER(I17),H17*I17,"")</f>
      </c>
      <c r="L17" s="10" t="str">
        <v>Quote needed</v>
      </c>
      <c r="M17" s="10" t="str">
        <v>MPN needed</v>
      </c>
      <c r="N17" s="10" t="str"/>
      <c r="O17" s="10" t="str">
        <v>Exact manufacturer part number not assigned; retain schematic value and footprint. Provisional selection; engineering qualification pending. Unit price needed; excluded from priced subtotal until entered.</v>
      </c>
    </row>
    <row r="18" ht="22" customHeight="1">
      <c r="A18" s="10" t="str">
        <v>Capacitor</v>
      </c>
      <c r="B18" s="10" t="str">
        <v>C18</v>
      </c>
      <c r="C18" s="10" t="str">
        <v>1u 50V X7R</v>
      </c>
      <c r="D18" s="10" t="str"/>
      <c r="E18" s="10" t="str">
        <v>TBD</v>
      </c>
      <c r="F18" s="23" t="n">
        <v>1</v>
      </c>
      <c r="G18" s="23" t="n">
        <f>$B$4</f>
        <v>5</v>
      </c>
      <c r="H18" s="23" t="n">
        <f>F18*G18</f>
        <v>5</v>
      </c>
      <c r="I18" s="24"/>
      <c r="J18" s="19" t="str">
        <f>IF(ISNUMBER(I18),F18*I18,"")</f>
      </c>
      <c r="K18" s="19" t="str">
        <f>IF(ISNUMBER(I18),H18*I18,"")</f>
      </c>
      <c r="L18" s="10" t="str">
        <v>Quote needed</v>
      </c>
      <c r="M18" s="10" t="str">
        <v>MPN needed</v>
      </c>
      <c r="N18" s="10" t="str"/>
      <c r="O18" s="10" t="str">
        <v>Exact manufacturer part number not assigned; retain schematic value and footprint. Unit price needed; excluded from priced subtotal until entered.</v>
      </c>
    </row>
    <row r="19" ht="22" customHeight="1">
      <c r="A19" s="10" t="str">
        <v>Capacitor</v>
      </c>
      <c r="B19" s="10" t="str">
        <v>C19</v>
      </c>
      <c r="C19" s="10" t="str">
        <v>100n 50V X7R</v>
      </c>
      <c r="D19" s="10" t="str"/>
      <c r="E19" s="10" t="str">
        <v>TBD</v>
      </c>
      <c r="F19" s="23" t="n">
        <v>1</v>
      </c>
      <c r="G19" s="23" t="n">
        <f>$B$4</f>
        <v>5</v>
      </c>
      <c r="H19" s="23" t="n">
        <f>F19*G19</f>
        <v>5</v>
      </c>
      <c r="I19" s="24"/>
      <c r="J19" s="19" t="str">
        <f>IF(ISNUMBER(I19),F19*I19,"")</f>
      </c>
      <c r="K19" s="19" t="str">
        <f>IF(ISNUMBER(I19),H19*I19,"")</f>
      </c>
      <c r="L19" s="10" t="str">
        <v>Quote needed</v>
      </c>
      <c r="M19" s="10" t="str">
        <v>MPN needed</v>
      </c>
      <c r="N19" s="10" t="str"/>
      <c r="O19" s="10" t="str">
        <v>Exact manufacturer part number not assigned; retain schematic value and footprint. Unit price needed; excluded from priced subtotal until entered.</v>
      </c>
    </row>
    <row r="20" ht="22" customHeight="1">
      <c r="A20" s="10" t="str">
        <v>Diode / TVS</v>
      </c>
      <c r="B20" s="10" t="str">
        <v>D1, D4</v>
      </c>
      <c r="C20" s="10" t="str">
        <v>SMAJ24CA</v>
      </c>
      <c r="D20" s="10" t="str">
        <v>Bourns</v>
      </c>
      <c r="E20" s="10" t="str">
        <v>SMAJ24CA</v>
      </c>
      <c r="F20" s="23" t="n">
        <v>2</v>
      </c>
      <c r="G20" s="23" t="n">
        <f>$B$4</f>
        <v>5</v>
      </c>
      <c r="H20" s="23" t="n">
        <f>F20*G20</f>
        <v>10</v>
      </c>
      <c r="I20" s="24" t="n">
        <v>0.53</v>
      </c>
      <c r="J20" s="19" t="n">
        <f>IF(ISNUMBER(I20),F20*I20,"")</f>
        <v>1.06</v>
      </c>
      <c r="K20" s="19" t="n">
        <f>IF(ISNUMBER(I20),H20*I20,"")</f>
        <v>5.300000000000001</v>
      </c>
      <c r="L20" s="10" t="str">
        <v>Mouser</v>
      </c>
      <c r="M20" s="29" t="str">
        <v>Supplier page</v>
      </c>
      <c r="N20" s="10" t="str">
        <v>https://www.mouser.com/en/ProductDetail/Bourns/SMAJ24CA?qs=A3H9pljuJ8RsSQb8zLkILA%3D%3D</v>
      </c>
      <c r="O20" s="10" t="str">
        <v>Budget carried from supplied workbook (2026-09-16); price/stock not rechecked.</v>
      </c>
    </row>
    <row r="21" ht="22" customHeight="1">
      <c r="A21" s="10" t="str">
        <v>Diode / TVS</v>
      </c>
      <c r="B21" s="10" t="str">
        <v>D3</v>
      </c>
      <c r="C21" s="10" t="str">
        <v>STPST10H100SB</v>
      </c>
      <c r="D21" s="10" t="str">
        <v>STMicroelectronics</v>
      </c>
      <c r="E21" s="10" t="str">
        <v>STPST10H100SB-TR</v>
      </c>
      <c r="F21" s="23" t="n">
        <v>1</v>
      </c>
      <c r="G21" s="23" t="n">
        <f>$B$4</f>
        <v>5</v>
      </c>
      <c r="H21" s="23" t="n">
        <f>F21*G21</f>
        <v>5</v>
      </c>
      <c r="I21" s="24"/>
      <c r="J21" s="19" t="str">
        <f>IF(ISNUMBER(I21),F21*I21,"")</f>
      </c>
      <c r="K21" s="19" t="str">
        <f>IF(ISNUMBER(I21),H21*I21,"")</f>
      </c>
      <c r="L21" s="10" t="str">
        <v>Quote needed</v>
      </c>
      <c r="M21" s="29" t="str">
        <v>Search supplier</v>
      </c>
      <c r="N21" s="10" t="str">
        <v>https://www.mouser.com/c/?q=STPST10H100SB-TR</v>
      </c>
      <c r="O21" s="10" t="str">
        <v>Unit price needed; excluded from priced subtotal until entered. Supplier search link only; exact listing/quote needed.</v>
      </c>
    </row>
    <row r="22" ht="22" customHeight="1">
      <c r="A22" s="10" t="str">
        <v>Diode / TVS</v>
      </c>
      <c r="B22" s="10" t="str">
        <v>D5</v>
      </c>
      <c r="C22" s="10" t="str">
        <v>SMBJ24CA</v>
      </c>
      <c r="D22" s="10" t="str"/>
      <c r="E22" s="10" t="str">
        <v>TBD</v>
      </c>
      <c r="F22" s="23" t="n">
        <v>1</v>
      </c>
      <c r="G22" s="23" t="n">
        <f>$B$4</f>
        <v>5</v>
      </c>
      <c r="H22" s="23" t="n">
        <f>F22*G22</f>
        <v>5</v>
      </c>
      <c r="I22" s="24"/>
      <c r="J22" s="19" t="str">
        <f>IF(ISNUMBER(I22),F22*I22,"")</f>
      </c>
      <c r="K22" s="19" t="str">
        <f>IF(ISNUMBER(I22),H22*I22,"")</f>
      </c>
      <c r="L22" s="10" t="str">
        <v>Quote needed</v>
      </c>
      <c r="M22" s="10" t="str">
        <v>MPN needed</v>
      </c>
      <c r="N22" s="10" t="str"/>
      <c r="O22" s="10" t="str">
        <v>Exact manufacturer part number not assigned; retain schematic value and footprint. Provisional selection; engineering qualification pending. Unit price needed; excluded from priced subtotal until entered.</v>
      </c>
    </row>
    <row r="23" ht="22" customHeight="1">
      <c r="A23" s="10" t="str">
        <v>Fuse</v>
      </c>
      <c r="B23" s="10" t="str">
        <v>F1</v>
      </c>
      <c r="C23" s="10" t="str">
        <v>4A MINI</v>
      </c>
      <c r="D23" s="10" t="str">
        <v>Littelfuse</v>
      </c>
      <c r="E23" s="10" t="str">
        <v>0297004.WXNV</v>
      </c>
      <c r="F23" s="23" t="n">
        <v>1</v>
      </c>
      <c r="G23" s="23" t="n">
        <f>$B$4</f>
        <v>5</v>
      </c>
      <c r="H23" s="23" t="n">
        <f>F23*G23</f>
        <v>5</v>
      </c>
      <c r="I23" s="24" t="n">
        <v>0.39</v>
      </c>
      <c r="J23" s="19" t="n">
        <f>IF(ISNUMBER(I23),F23*I23,"")</f>
        <v>0.39</v>
      </c>
      <c r="K23" s="19" t="n">
        <f>IF(ISNUMBER(I23),H23*I23,"")</f>
        <v>1.9500000000000002</v>
      </c>
      <c r="L23" s="10" t="str">
        <v>Mouser</v>
      </c>
      <c r="M23" s="29" t="str">
        <v>Supplier page</v>
      </c>
      <c r="N23" s="10" t="str">
        <v>https://www.mouser.com/ProductDetail/Littelfuse/0297004.WXNV?qs=KOeOmFnJLTo2xybF75gK9A%3D%3D</v>
      </c>
      <c r="O23" s="10" t="str">
        <v>Budget carried from supplied workbook (2026-09-16); price/stock not rechecked.</v>
      </c>
    </row>
    <row r="24" ht="32" customHeight="1">
      <c r="A24" s="10" t="str">
        <v>Fuse</v>
      </c>
      <c r="B24" s="10" t="str">
        <v>F2</v>
      </c>
      <c r="C24" s="10" t="str">
        <v>SCHURTER UHS 100A 3-140-177 PROVISIONAL</v>
      </c>
      <c r="D24" s="10" t="str">
        <v>SCHURTER</v>
      </c>
      <c r="E24" s="10" t="str">
        <v>3-140-177</v>
      </c>
      <c r="F24" s="23" t="n">
        <v>1</v>
      </c>
      <c r="G24" s="23" t="n">
        <f>$B$4</f>
        <v>5</v>
      </c>
      <c r="H24" s="23" t="n">
        <f>F24*G24</f>
        <v>5</v>
      </c>
      <c r="I24" s="24"/>
      <c r="J24" s="19" t="str">
        <f>IF(ISNUMBER(I24),F24*I24,"")</f>
      </c>
      <c r="K24" s="19" t="str">
        <f>IF(ISNUMBER(I24),H24*I24,"")</f>
      </c>
      <c r="L24" s="10" t="str">
        <v>Quote needed</v>
      </c>
      <c r="M24" s="29" t="str">
        <v>Search supplier</v>
      </c>
      <c r="N24" s="10" t="str">
        <v>https://www.mouser.com/c/?q=3-140-177</v>
      </c>
      <c r="O24" s="10" t="str">
        <v>Provisional selection; engineering qualification pending. Unit price needed; excluded from priced subtotal until entered. Supplier search link only; exact listing/quote needed.</v>
      </c>
    </row>
    <row r="25" ht="22" customHeight="1">
      <c r="A25" s="10" t="str">
        <v>Connector</v>
      </c>
      <c r="B25" s="10" t="str">
        <v>J1, J3</v>
      </c>
      <c r="C25" s="10" t="str">
        <v>MKDSP 25/2-15.00 PROVISIONAL</v>
      </c>
      <c r="D25" s="10" t="str">
        <v>Phoenix Contact</v>
      </c>
      <c r="E25" s="10" t="str">
        <v>1932588</v>
      </c>
      <c r="F25" s="23" t="n">
        <v>2</v>
      </c>
      <c r="G25" s="23" t="n">
        <f>$B$4</f>
        <v>5</v>
      </c>
      <c r="H25" s="23" t="n">
        <f>F25*G25</f>
        <v>10</v>
      </c>
      <c r="I25" s="24"/>
      <c r="J25" s="19" t="str">
        <f>IF(ISNUMBER(I25),F25*I25,"")</f>
      </c>
      <c r="K25" s="19" t="str">
        <f>IF(ISNUMBER(I25),H25*I25,"")</f>
      </c>
      <c r="L25" s="10" t="str">
        <v>Quote needed</v>
      </c>
      <c r="M25" s="29" t="str">
        <v>Search supplier</v>
      </c>
      <c r="N25" s="10" t="str">
        <v>https://www.mouser.com/c/?q=1932588</v>
      </c>
      <c r="O25" s="10" t="str">
        <v>Provisional selection; engineering qualification pending. Unit price needed; excluded from priced subtotal until entered. Supplier search link only; exact listing/quote needed.</v>
      </c>
    </row>
    <row r="26" ht="22" customHeight="1">
      <c r="A26" s="10" t="str">
        <v>Connector</v>
      </c>
      <c r="B26" s="10" t="str">
        <v>J2</v>
      </c>
      <c r="C26" s="10" t="str">
        <v>OSIRIS_I2C</v>
      </c>
      <c r="D26" s="10" t="str">
        <v>JST</v>
      </c>
      <c r="E26" s="10" t="str">
        <v>BM04B-GHS-TBT(LF)(SN)</v>
      </c>
      <c r="F26" s="23" t="n">
        <v>1</v>
      </c>
      <c r="G26" s="23" t="n">
        <f>$B$4</f>
        <v>5</v>
      </c>
      <c r="H26" s="23" t="n">
        <f>F26*G26</f>
        <v>5</v>
      </c>
      <c r="I26" s="24" t="n">
        <v>0.38</v>
      </c>
      <c r="J26" s="19" t="n">
        <f>IF(ISNUMBER(I26),F26*I26,"")</f>
        <v>0.38</v>
      </c>
      <c r="K26" s="19" t="n">
        <f>IF(ISNUMBER(I26),H26*I26,"")</f>
        <v>1.9</v>
      </c>
      <c r="L26" s="10" t="str">
        <v>Mouser</v>
      </c>
      <c r="M26" s="29" t="str">
        <v>Supplier page</v>
      </c>
      <c r="N26" s="10" t="str">
        <v>https://www.mouser.com/ProductDetail/JST-Commercial/BM04B-GHS-TBTLFSN</v>
      </c>
      <c r="O26" s="10" t="str">
        <v>Budget carried from supplied workbook (2026-09-16); price/stock not rechecked.</v>
      </c>
    </row>
    <row r="27" ht="22" customHeight="1">
      <c r="A27" s="10" t="str">
        <v>Connector</v>
      </c>
      <c r="B27" s="10" t="str">
        <v>J4</v>
      </c>
      <c r="C27" s="10" t="str">
        <v>XT60PW-F</v>
      </c>
      <c r="D27" s="10" t="str">
        <v>AMASS</v>
      </c>
      <c r="E27" s="10" t="str">
        <v>XT60PW-F</v>
      </c>
      <c r="F27" s="23" t="n">
        <v>1</v>
      </c>
      <c r="G27" s="23" t="n">
        <f>$B$4</f>
        <v>5</v>
      </c>
      <c r="H27" s="23" t="n">
        <f>F27*G27</f>
        <v>5</v>
      </c>
      <c r="I27" s="24" t="n">
        <v>1.05</v>
      </c>
      <c r="J27" s="19" t="n">
        <f>IF(ISNUMBER(I27),F27*I27,"")</f>
        <v>1.05</v>
      </c>
      <c r="K27" s="19" t="n">
        <f>IF(ISNUMBER(I27),H27*I27,"")</f>
        <v>5.25</v>
      </c>
      <c r="L27" s="10" t="str">
        <v>US supplier TBD</v>
      </c>
      <c r="M27" s="29" t="str">
        <v>Search supplier</v>
      </c>
      <c r="N27" s="10" t="str">
        <v>https://www.mouser.com/c/?q=XT60PW-F</v>
      </c>
      <c r="O27" s="10" t="str">
        <v>Budget carried from supplied workbook (2026-09-16); price/stock not rechecked.</v>
      </c>
    </row>
    <row r="28" ht="22" customHeight="1">
      <c r="A28" s="10" t="str">
        <v>MOSFET</v>
      </c>
      <c r="B28" s="10" t="str">
        <v>Q1, Q2</v>
      </c>
      <c r="C28" s="10" t="str">
        <v>ISC015N06NM5LF2</v>
      </c>
      <c r="D28" s="10" t="str">
        <v>Infineon</v>
      </c>
      <c r="E28" s="10" t="str">
        <v>ISC015N06NM5LF2ATMA1</v>
      </c>
      <c r="F28" s="23" t="n">
        <v>2</v>
      </c>
      <c r="G28" s="23" t="n">
        <f>$B$4</f>
        <v>5</v>
      </c>
      <c r="H28" s="23" t="n">
        <f>F28*G28</f>
        <v>10</v>
      </c>
      <c r="I28" s="24" t="n">
        <v>4.07</v>
      </c>
      <c r="J28" s="19" t="n">
        <f>IF(ISNUMBER(I28),F28*I28,"")</f>
        <v>8.14</v>
      </c>
      <c r="K28" s="19" t="n">
        <f>IF(ISNUMBER(I28),H28*I28,"")</f>
        <v>40.7</v>
      </c>
      <c r="L28" s="10" t="str">
        <v>DigiKey</v>
      </c>
      <c r="M28" s="29" t="str">
        <v>Supplier page</v>
      </c>
      <c r="N28" s="10" t="str">
        <v>https://www.digikey.com/en/products/detail/infineon-technologies/ISC015N06NM5LF2ATMA1/22157619</v>
      </c>
      <c r="O28" s="10" t="str">
        <v>Budget carried from supplied workbook (2026-09-16); price/stock not rechecked.</v>
      </c>
    </row>
    <row r="29" ht="22" customHeight="1">
      <c r="A29" s="10" t="str">
        <v>MOSFET</v>
      </c>
      <c r="B29" s="10" t="str">
        <v>Q3</v>
      </c>
      <c r="C29" s="10" t="str">
        <v>BSC070N10NS5</v>
      </c>
      <c r="D29" s="10" t="str">
        <v>Infineon</v>
      </c>
      <c r="E29" s="10" t="str">
        <v>BSC070N10NS5ATMA1</v>
      </c>
      <c r="F29" s="23" t="n">
        <v>1</v>
      </c>
      <c r="G29" s="23" t="n">
        <f>$B$4</f>
        <v>5</v>
      </c>
      <c r="H29" s="23" t="n">
        <f>F29*G29</f>
        <v>5</v>
      </c>
      <c r="I29" s="24"/>
      <c r="J29" s="19" t="str">
        <f>IF(ISNUMBER(I29),F29*I29,"")</f>
      </c>
      <c r="K29" s="19" t="str">
        <f>IF(ISNUMBER(I29),H29*I29,"")</f>
      </c>
      <c r="L29" s="10" t="str">
        <v>Quote needed</v>
      </c>
      <c r="M29" s="29" t="str">
        <v>Search supplier</v>
      </c>
      <c r="N29" s="10" t="str">
        <v>https://www.mouser.com/c/?q=BSC070N10NS5ATMA1</v>
      </c>
      <c r="O29" s="10" t="str">
        <v>Unit price needed; excluded from priced subtotal until entered. Supplier search link only; exact listing/quote needed.</v>
      </c>
    </row>
    <row r="30" ht="22" customHeight="1">
      <c r="A30" s="10" t="str">
        <v>Resistor</v>
      </c>
      <c r="B30" s="10" t="str">
        <v>R1</v>
      </c>
      <c r="C30" s="10" t="str">
        <v>237k</v>
      </c>
      <c r="D30" s="10" t="str">
        <v>YAGEO</v>
      </c>
      <c r="E30" s="10" t="str">
        <v>RC0805FR-07237KL</v>
      </c>
      <c r="F30" s="23" t="n">
        <v>1</v>
      </c>
      <c r="G30" s="23" t="n">
        <f>$B$4</f>
        <v>5</v>
      </c>
      <c r="H30" s="23" t="n">
        <f>F30*G30</f>
        <v>5</v>
      </c>
      <c r="I30" s="24" t="n">
        <v>0.1</v>
      </c>
      <c r="J30" s="19" t="n">
        <f>IF(ISNUMBER(I30),F30*I30,"")</f>
        <v>0.1</v>
      </c>
      <c r="K30" s="19" t="n">
        <f>IF(ISNUMBER(I30),H30*I30,"")</f>
        <v>0.5</v>
      </c>
      <c r="L30" s="10" t="str">
        <v>DigiKey</v>
      </c>
      <c r="M30" s="29" t="str">
        <v>Supplier page</v>
      </c>
      <c r="N30" s="10" t="str">
        <v>https://www.digikey.com/en/products/detail/yageo/RC0805FR-07237KL/727754</v>
      </c>
      <c r="O30" s="10" t="str">
        <v>Budget carried from supplied workbook (2026-09-16); price/stock not rechecked.</v>
      </c>
    </row>
    <row r="31" ht="22" customHeight="1">
      <c r="A31" s="10" t="str">
        <v>Resistor</v>
      </c>
      <c r="B31" s="10" t="str">
        <v>R2</v>
      </c>
      <c r="C31" s="10" t="str">
        <v>11k8</v>
      </c>
      <c r="D31" s="10" t="str">
        <v>YAGEO</v>
      </c>
      <c r="E31" s="10" t="str">
        <v>RC0805FR-0711K8L</v>
      </c>
      <c r="F31" s="23" t="n">
        <v>1</v>
      </c>
      <c r="G31" s="23" t="n">
        <f>$B$4</f>
        <v>5</v>
      </c>
      <c r="H31" s="23" t="n">
        <f>F31*G31</f>
        <v>5</v>
      </c>
      <c r="I31" s="24" t="n">
        <v>0.1</v>
      </c>
      <c r="J31" s="19" t="n">
        <f>IF(ISNUMBER(I31),F31*I31,"")</f>
        <v>0.1</v>
      </c>
      <c r="K31" s="19" t="n">
        <f>IF(ISNUMBER(I31),H31*I31,"")</f>
        <v>0.5</v>
      </c>
      <c r="L31" s="10" t="str">
        <v>DigiKey</v>
      </c>
      <c r="M31" s="29" t="str">
        <v>Supplier page</v>
      </c>
      <c r="N31" s="10" t="str">
        <v>https://www.digikey.com/en/products/detail/yageo/RC0805FR-0711K8L/730505</v>
      </c>
      <c r="O31" s="10" t="str">
        <v>Budget carried from supplied workbook (2026-09-16); price/stock not rechecked.</v>
      </c>
    </row>
    <row r="32" ht="22" customHeight="1">
      <c r="A32" s="10" t="str">
        <v>Resistor</v>
      </c>
      <c r="B32" s="10" t="str">
        <v>R3</v>
      </c>
      <c r="C32" s="10" t="str">
        <v>2M0</v>
      </c>
      <c r="D32" s="10" t="str">
        <v>YAGEO</v>
      </c>
      <c r="E32" s="10" t="str">
        <v>RC0805FR-072ML</v>
      </c>
      <c r="F32" s="23" t="n">
        <v>1</v>
      </c>
      <c r="G32" s="23" t="n">
        <f>$B$4</f>
        <v>5</v>
      </c>
      <c r="H32" s="23" t="n">
        <f>F32*G32</f>
        <v>5</v>
      </c>
      <c r="I32" s="24" t="n">
        <v>0.1</v>
      </c>
      <c r="J32" s="19" t="n">
        <f>IF(ISNUMBER(I32),F32*I32,"")</f>
        <v>0.1</v>
      </c>
      <c r="K32" s="19" t="n">
        <f>IF(ISNUMBER(I32),H32*I32,"")</f>
        <v>0.5</v>
      </c>
      <c r="L32" s="10" t="str">
        <v>Mouser</v>
      </c>
      <c r="M32" s="29" t="str">
        <v>Supplier page</v>
      </c>
      <c r="N32" s="10" t="str">
        <v>https://www.mouser.com/ProductDetail/YAGEO/RC0805FR-072ML</v>
      </c>
      <c r="O32" s="10" t="str">
        <v>Budget carried from supplied workbook (2026-09-16); price/stock not rechecked.</v>
      </c>
    </row>
    <row r="33" ht="22" customHeight="1">
      <c r="A33" s="10" t="str">
        <v>Resistor</v>
      </c>
      <c r="B33" s="10" t="str">
        <v>R4</v>
      </c>
      <c r="C33" s="10" t="str">
        <v>22k</v>
      </c>
      <c r="D33" s="10" t="str">
        <v>YAGEO</v>
      </c>
      <c r="E33" s="10" t="str">
        <v>RC0805FR-0722KL</v>
      </c>
      <c r="F33" s="23" t="n">
        <v>1</v>
      </c>
      <c r="G33" s="23" t="n">
        <f>$B$4</f>
        <v>5</v>
      </c>
      <c r="H33" s="23" t="n">
        <f>F33*G33</f>
        <v>5</v>
      </c>
      <c r="I33" s="24" t="n">
        <v>0.1</v>
      </c>
      <c r="J33" s="19" t="n">
        <f>IF(ISNUMBER(I33),F33*I33,"")</f>
        <v>0.1</v>
      </c>
      <c r="K33" s="19" t="n">
        <f>IF(ISNUMBER(I33),H33*I33,"")</f>
        <v>0.5</v>
      </c>
      <c r="L33" s="10" t="str">
        <v>DigiKey</v>
      </c>
      <c r="M33" s="29" t="str">
        <v>Supplier page</v>
      </c>
      <c r="N33" s="10" t="str">
        <v>https://www.digikey.com/en/products/detail/yageo/RC0805FR-0722KL/730683</v>
      </c>
      <c r="O33" s="10" t="str">
        <v>Budget carried from supplied workbook (2026-09-16); price/stock not rechecked.</v>
      </c>
    </row>
    <row r="34" ht="22" customHeight="1">
      <c r="A34" s="10" t="str">
        <v>Resistor</v>
      </c>
      <c r="B34" s="10" t="str">
        <v>R5</v>
      </c>
      <c r="C34" s="10" t="str">
        <v>5m</v>
      </c>
      <c r="D34" s="10" t="str">
        <v>Ohmite</v>
      </c>
      <c r="E34" s="10" t="str">
        <v>FC4L64R005FER</v>
      </c>
      <c r="F34" s="23" t="n">
        <v>1</v>
      </c>
      <c r="G34" s="23" t="n">
        <f>$B$4</f>
        <v>5</v>
      </c>
      <c r="H34" s="23" t="n">
        <f>F34*G34</f>
        <v>5</v>
      </c>
      <c r="I34" s="24" t="n">
        <v>2.69</v>
      </c>
      <c r="J34" s="19" t="n">
        <f>IF(ISNUMBER(I34),F34*I34,"")</f>
        <v>2.69</v>
      </c>
      <c r="K34" s="19" t="n">
        <f>IF(ISNUMBER(I34),H34*I34,"")</f>
        <v>13.45</v>
      </c>
      <c r="L34" s="10" t="str">
        <v>Mouser</v>
      </c>
      <c r="M34" s="29" t="str">
        <v>Supplier page</v>
      </c>
      <c r="N34" s="10" t="str">
        <v>https://www.mouser.com/ProductDetail/Ohmite/FC4L64R005FER</v>
      </c>
      <c r="O34" s="10" t="str">
        <v>Budget carried from supplied workbook (2026-09-16); price/stock not rechecked.</v>
      </c>
    </row>
    <row r="35" ht="22" customHeight="1">
      <c r="A35" s="10" t="str">
        <v>Resistor</v>
      </c>
      <c r="B35" s="10" t="str">
        <v>R6</v>
      </c>
      <c r="C35" s="10" t="str">
        <v>680k</v>
      </c>
      <c r="D35" s="10" t="str">
        <v>YAGEO</v>
      </c>
      <c r="E35" s="10" t="str">
        <v>RC0805FR-07680KL</v>
      </c>
      <c r="F35" s="23" t="n">
        <v>1</v>
      </c>
      <c r="G35" s="23" t="n">
        <f>$B$4</f>
        <v>5</v>
      </c>
      <c r="H35" s="23" t="n">
        <f>F35*G35</f>
        <v>5</v>
      </c>
      <c r="I35" s="24" t="n">
        <v>0.1</v>
      </c>
      <c r="J35" s="19" t="n">
        <f>IF(ISNUMBER(I35),F35*I35,"")</f>
        <v>0.1</v>
      </c>
      <c r="K35" s="19" t="n">
        <f>IF(ISNUMBER(I35),H35*I35,"")</f>
        <v>0.5</v>
      </c>
      <c r="L35" s="10" t="str">
        <v>Mouser</v>
      </c>
      <c r="M35" s="29" t="str">
        <v>Supplier page</v>
      </c>
      <c r="N35" s="10" t="str">
        <v>https://www.mouser.com/ProductDetail/YAGEO/RC0805FR-07680KL</v>
      </c>
      <c r="O35" s="10" t="str">
        <v>Budget carried from supplied workbook (2026-09-16); price/stock not rechecked.</v>
      </c>
    </row>
    <row r="36" ht="22" customHeight="1">
      <c r="A36" s="10" t="str">
        <v>Resistor</v>
      </c>
      <c r="B36" s="10" t="str">
        <v>R7</v>
      </c>
      <c r="C36" s="10" t="str">
        <v>200k</v>
      </c>
      <c r="D36" s="10" t="str">
        <v>YAGEO</v>
      </c>
      <c r="E36" s="10" t="str">
        <v>RC0805FR-07200KL</v>
      </c>
      <c r="F36" s="23" t="n">
        <v>1</v>
      </c>
      <c r="G36" s="23" t="n">
        <f>$B$4</f>
        <v>5</v>
      </c>
      <c r="H36" s="23" t="n">
        <f>F36*G36</f>
        <v>5</v>
      </c>
      <c r="I36" s="24" t="n">
        <v>0.1</v>
      </c>
      <c r="J36" s="19" t="n">
        <f>IF(ISNUMBER(I36),F36*I36,"")</f>
        <v>0.1</v>
      </c>
      <c r="K36" s="19" t="n">
        <f>IF(ISNUMBER(I36),H36*I36,"")</f>
        <v>0.5</v>
      </c>
      <c r="L36" s="10" t="str">
        <v>Mouser</v>
      </c>
      <c r="M36" s="29" t="str">
        <v>Supplier page</v>
      </c>
      <c r="N36" s="10" t="str">
        <v>https://www.mouser.com/en/ProductDetail/YAGEO/RC0805FR-07200KL</v>
      </c>
      <c r="O36" s="10" t="str">
        <v>Budget carried from supplied workbook (2026-09-16); price/stock not rechecked.</v>
      </c>
    </row>
    <row r="37" ht="22" customHeight="1">
      <c r="A37" s="10" t="str">
        <v>Resistor</v>
      </c>
      <c r="B37" s="10" t="str">
        <v>R8, R9</v>
      </c>
      <c r="C37" s="10" t="str">
        <v>10</v>
      </c>
      <c r="D37" s="10" t="str">
        <v>YAGEO</v>
      </c>
      <c r="E37" s="10" t="str">
        <v>RC0805FR-0710RL</v>
      </c>
      <c r="F37" s="23" t="n">
        <v>2</v>
      </c>
      <c r="G37" s="23" t="n">
        <f>$B$4</f>
        <v>5</v>
      </c>
      <c r="H37" s="23" t="n">
        <f>F37*G37</f>
        <v>10</v>
      </c>
      <c r="I37" s="24" t="n">
        <v>0.12</v>
      </c>
      <c r="J37" s="19" t="n">
        <f>IF(ISNUMBER(I37),F37*I37,"")</f>
        <v>0.24</v>
      </c>
      <c r="K37" s="19" t="n">
        <f>IF(ISNUMBER(I37),H37*I37,"")</f>
        <v>1.2</v>
      </c>
      <c r="L37" s="10" t="str">
        <v>DigiKey</v>
      </c>
      <c r="M37" s="29" t="str">
        <v>Supplier page</v>
      </c>
      <c r="N37" s="10" t="str">
        <v>https://www.digikey.com/en/products/detail/yageo/RC0805FR-0710RL/730481</v>
      </c>
      <c r="O37" s="10" t="str">
        <v>Budget carried from supplied workbook (2026-09-16); price/stock not rechecked.</v>
      </c>
    </row>
    <row r="38" ht="22" customHeight="1">
      <c r="A38" s="10" t="str">
        <v>Resistor</v>
      </c>
      <c r="B38" s="10" t="str">
        <v>R10, R17 (DNP), R18 (DNP)</v>
      </c>
      <c r="C38" s="10" t="str">
        <v>4k7</v>
      </c>
      <c r="D38" s="10" t="str">
        <v>YAGEO</v>
      </c>
      <c r="E38" s="10" t="str">
        <v>RC0805FR-074K7L</v>
      </c>
      <c r="F38" s="23" t="n">
        <v>1</v>
      </c>
      <c r="G38" s="23" t="n">
        <f>$B$4</f>
        <v>5</v>
      </c>
      <c r="H38" s="23" t="n">
        <f>F38*G38</f>
        <v>5</v>
      </c>
      <c r="I38" s="24" t="n">
        <v>0.1</v>
      </c>
      <c r="J38" s="19" t="n">
        <f>IF(ISNUMBER(I38),F38*I38,"")</f>
        <v>0.1</v>
      </c>
      <c r="K38" s="19" t="n">
        <f>IF(ISNUMBER(I38),H38*I38,"")</f>
        <v>0.5</v>
      </c>
      <c r="L38" s="10" t="str">
        <v>DigiKey</v>
      </c>
      <c r="M38" s="29" t="str">
        <v>Supplier page</v>
      </c>
      <c r="N38" s="10" t="str">
        <v>https://www.digikey.com/en/products/detail/yageo/RC0805FR-074K7L/727929</v>
      </c>
      <c r="O38" s="10" t="str">
        <v>Budget carried from supplied workbook (2026-09-16); price/stock not rechecked.</v>
      </c>
    </row>
    <row r="39" ht="22" customHeight="1">
      <c r="A39" s="10" t="str">
        <v>Resistor</v>
      </c>
      <c r="B39" s="10" t="str">
        <v>R11</v>
      </c>
      <c r="C39" s="10" t="str">
        <v>1k58</v>
      </c>
      <c r="D39" s="10" t="str">
        <v>YAGEO</v>
      </c>
      <c r="E39" s="10" t="str">
        <v>RC0805FR-071K58L</v>
      </c>
      <c r="F39" s="23" t="n">
        <v>1</v>
      </c>
      <c r="G39" s="23" t="n">
        <f>$B$4</f>
        <v>5</v>
      </c>
      <c r="H39" s="23" t="n">
        <f>F39*G39</f>
        <v>5</v>
      </c>
      <c r="I39" s="24" t="n">
        <v>0.1</v>
      </c>
      <c r="J39" s="19" t="n">
        <f>IF(ISNUMBER(I39),F39*I39,"")</f>
        <v>0.1</v>
      </c>
      <c r="K39" s="19" t="n">
        <f>IF(ISNUMBER(I39),H39*I39,"")</f>
        <v>0.5</v>
      </c>
      <c r="L39" s="10" t="str">
        <v>DigiKey</v>
      </c>
      <c r="M39" s="29" t="str">
        <v>Supplier page</v>
      </c>
      <c r="N39" s="10" t="str">
        <v>https://www.digikey.com/en/products/detail/yageo/RC0805FR-071K58L/730449</v>
      </c>
      <c r="O39" s="10" t="str">
        <v>Budget carried from supplied workbook (2026-09-16); price/stock not rechecked.</v>
      </c>
    </row>
    <row r="40" ht="22" customHeight="1">
      <c r="A40" s="10" t="str">
        <v>Resistor</v>
      </c>
      <c r="B40" s="10" t="str">
        <v>R12</v>
      </c>
      <c r="C40" s="10" t="str">
        <v>1k0</v>
      </c>
      <c r="D40" s="10" t="str">
        <v>YAGEO</v>
      </c>
      <c r="E40" s="10" t="str">
        <v>RC0805FR-071KL</v>
      </c>
      <c r="F40" s="23" t="n">
        <v>1</v>
      </c>
      <c r="G40" s="23" t="n">
        <f>$B$4</f>
        <v>5</v>
      </c>
      <c r="H40" s="23" t="n">
        <f>F40*G40</f>
        <v>5</v>
      </c>
      <c r="I40" s="24" t="n">
        <v>0.1</v>
      </c>
      <c r="J40" s="19" t="n">
        <f>IF(ISNUMBER(I40),F40*I40,"")</f>
        <v>0.1</v>
      </c>
      <c r="K40" s="19" t="n">
        <f>IF(ISNUMBER(I40),H40*I40,"")</f>
        <v>0.5</v>
      </c>
      <c r="L40" s="10" t="str">
        <v>DigiKey</v>
      </c>
      <c r="M40" s="29" t="str">
        <v>Supplier page</v>
      </c>
      <c r="N40" s="10" t="str">
        <v>https://www.digikey.com/en/products/detail/yageo/RC0805FR-071KL/727444</v>
      </c>
      <c r="O40" s="10" t="str">
        <v>Budget carried from supplied workbook (2026-09-16); price/stock not rechecked.</v>
      </c>
    </row>
    <row r="41" ht="22" customHeight="1">
      <c r="A41" s="10" t="str">
        <v>Resistor</v>
      </c>
      <c r="B41" s="10" t="str">
        <v>R13</v>
      </c>
      <c r="C41" s="10" t="str">
        <v>54k9</v>
      </c>
      <c r="D41" s="10" t="str">
        <v>YAGEO</v>
      </c>
      <c r="E41" s="10" t="str">
        <v>RC0805FR-0754K9L</v>
      </c>
      <c r="F41" s="23" t="n">
        <v>1</v>
      </c>
      <c r="G41" s="23" t="n">
        <f>$B$4</f>
        <v>5</v>
      </c>
      <c r="H41" s="23" t="n">
        <f>F41*G41</f>
        <v>5</v>
      </c>
      <c r="I41" s="24" t="n">
        <v>0.1</v>
      </c>
      <c r="J41" s="19" t="n">
        <f>IF(ISNUMBER(I41),F41*I41,"")</f>
        <v>0.1</v>
      </c>
      <c r="K41" s="19" t="n">
        <f>IF(ISNUMBER(I41),H41*I41,"")</f>
        <v>0.5</v>
      </c>
      <c r="L41" s="10" t="str">
        <v>DigiKey</v>
      </c>
      <c r="M41" s="29" t="str">
        <v>Supplier page</v>
      </c>
      <c r="N41" s="10" t="str">
        <v>https://www.digikey.com/en/products/detail/yageo/RC0805FR-0754K9L/728029</v>
      </c>
      <c r="O41" s="10" t="str">
        <v>Budget carried from supplied workbook (2026-09-16); price/stock not rechecked.</v>
      </c>
    </row>
    <row r="42" ht="22" customHeight="1">
      <c r="A42" s="10" t="str">
        <v>Resistor</v>
      </c>
      <c r="B42" s="10" t="str">
        <v>R14</v>
      </c>
      <c r="C42" s="10" t="str">
        <v>22M</v>
      </c>
      <c r="D42" s="10" t="str">
        <v>YAGEO</v>
      </c>
      <c r="E42" s="10" t="str">
        <v>RC0805JR-0722ML</v>
      </c>
      <c r="F42" s="23" t="n">
        <v>1</v>
      </c>
      <c r="G42" s="23" t="n">
        <f>$B$4</f>
        <v>5</v>
      </c>
      <c r="H42" s="23" t="n">
        <f>F42*G42</f>
        <v>5</v>
      </c>
      <c r="I42" s="24" t="n">
        <v>0.16</v>
      </c>
      <c r="J42" s="19" t="n">
        <f>IF(ISNUMBER(I42),F42*I42,"")</f>
        <v>0.16</v>
      </c>
      <c r="K42" s="19" t="n">
        <f>IF(ISNUMBER(I42),H42*I42,"")</f>
        <v>0.8</v>
      </c>
      <c r="L42" s="10" t="str">
        <v>DigiKey</v>
      </c>
      <c r="M42" s="29" t="str">
        <v>Supplier page</v>
      </c>
      <c r="N42" s="10" t="str">
        <v>https://www.digikey.com/en/products/detail/yageo/RC0805JR-0722ML/5919060</v>
      </c>
      <c r="O42" s="10" t="str">
        <v>Budget carried from supplied workbook (2026-09-16); price/stock not rechecked.</v>
      </c>
    </row>
    <row r="43" ht="22" customHeight="1">
      <c r="A43" s="10" t="str">
        <v>Resistor</v>
      </c>
      <c r="B43" s="10" t="str">
        <v>R15, R16</v>
      </c>
      <c r="C43" s="10" t="str">
        <v>10k</v>
      </c>
      <c r="D43" s="10" t="str">
        <v>YAGEO</v>
      </c>
      <c r="E43" s="10" t="str">
        <v>RC0805FR-0710KL</v>
      </c>
      <c r="F43" s="23" t="n">
        <v>2</v>
      </c>
      <c r="G43" s="23" t="n">
        <f>$B$4</f>
        <v>5</v>
      </c>
      <c r="H43" s="23" t="n">
        <f>F43*G43</f>
        <v>10</v>
      </c>
      <c r="I43" s="24" t="n">
        <v>0.1</v>
      </c>
      <c r="J43" s="19" t="n">
        <f>IF(ISNUMBER(I43),F43*I43,"")</f>
        <v>0.2</v>
      </c>
      <c r="K43" s="19" t="n">
        <f>IF(ISNUMBER(I43),H43*I43,"")</f>
        <v>1</v>
      </c>
      <c r="L43" s="10" t="str">
        <v>DigiKey</v>
      </c>
      <c r="M43" s="29" t="str">
        <v>Supplier page</v>
      </c>
      <c r="N43" s="10" t="str">
        <v>https://www.digikey.com/en/products/detail/yageo/RC0805FR-0710KL/727535</v>
      </c>
      <c r="O43" s="10" t="str">
        <v>Budget carried from supplied workbook (2026-09-16); price/stock not rechecked.</v>
      </c>
    </row>
    <row r="44" ht="22" customHeight="1">
      <c r="A44" s="10" t="str">
        <v>Resistor</v>
      </c>
      <c r="B44" s="10" t="str">
        <v>R19</v>
      </c>
      <c r="C44" s="10" t="str">
        <v>1k</v>
      </c>
      <c r="D44" s="10" t="str">
        <v>Vishay</v>
      </c>
      <c r="E44" s="10" t="str">
        <v>CRCW25121001FKEGHP</v>
      </c>
      <c r="F44" s="23" t="n">
        <v>1</v>
      </c>
      <c r="G44" s="23" t="n">
        <f>$B$4</f>
        <v>5</v>
      </c>
      <c r="H44" s="23" t="n">
        <f>F44*G44</f>
        <v>5</v>
      </c>
      <c r="I44" s="24"/>
      <c r="J44" s="19" t="str">
        <f>IF(ISNUMBER(I44),F44*I44,"")</f>
      </c>
      <c r="K44" s="19" t="str">
        <f>IF(ISNUMBER(I44),H44*I44,"")</f>
      </c>
      <c r="L44" s="10" t="str">
        <v>Quote needed</v>
      </c>
      <c r="M44" s="29" t="str">
        <v>Search supplier</v>
      </c>
      <c r="N44" s="10" t="str">
        <v>https://www.mouser.com/c/?q=CRCW25121001FKEGHP</v>
      </c>
      <c r="O44" s="10" t="str">
        <v>Unit price needed; excluded from priced subtotal until entered. Supplier search link only; exact listing/quote needed.</v>
      </c>
    </row>
    <row r="45" ht="22" customHeight="1">
      <c r="A45" s="10" t="str">
        <v>Resistor</v>
      </c>
      <c r="B45" s="10" t="str">
        <v>R20</v>
      </c>
      <c r="C45" s="10" t="str">
        <v>1</v>
      </c>
      <c r="D45" s="10" t="str">
        <v>Vishay</v>
      </c>
      <c r="E45" s="10" t="str">
        <v>CRCW25121R00FKEGHP</v>
      </c>
      <c r="F45" s="23" t="n">
        <v>1</v>
      </c>
      <c r="G45" s="23" t="n">
        <f>$B$4</f>
        <v>5</v>
      </c>
      <c r="H45" s="23" t="n">
        <f>F45*G45</f>
        <v>5</v>
      </c>
      <c r="I45" s="24"/>
      <c r="J45" s="19" t="str">
        <f>IF(ISNUMBER(I45),F45*I45,"")</f>
      </c>
      <c r="K45" s="19" t="str">
        <f>IF(ISNUMBER(I45),H45*I45,"")</f>
      </c>
      <c r="L45" s="10" t="str">
        <v>Quote needed</v>
      </c>
      <c r="M45" s="29" t="str">
        <v>Search supplier</v>
      </c>
      <c r="N45" s="10" t="str">
        <v>https://www.mouser.com/c/?q=CRCW25121R00FKEGHP</v>
      </c>
      <c r="O45" s="10" t="str">
        <v>Unit price needed; excluded from priced subtotal until entered. Supplier search link only; exact listing/quote needed.</v>
      </c>
    </row>
    <row r="46" ht="22" customHeight="1">
      <c r="A46" s="10" t="str">
        <v>Resistor</v>
      </c>
      <c r="B46" s="10" t="str">
        <v>R21</v>
      </c>
      <c r="C46" s="10" t="str">
        <v>100</v>
      </c>
      <c r="D46" s="10" t="str">
        <v>Yageo</v>
      </c>
      <c r="E46" s="10" t="str">
        <v>RC0805FR-07100RL</v>
      </c>
      <c r="F46" s="23" t="n">
        <v>1</v>
      </c>
      <c r="G46" s="23" t="n">
        <f>$B$4</f>
        <v>5</v>
      </c>
      <c r="H46" s="23" t="n">
        <f>F46*G46</f>
        <v>5</v>
      </c>
      <c r="I46" s="24"/>
      <c r="J46" s="19" t="str">
        <f>IF(ISNUMBER(I46),F46*I46,"")</f>
      </c>
      <c r="K46" s="19" t="str">
        <f>IF(ISNUMBER(I46),H46*I46,"")</f>
      </c>
      <c r="L46" s="10" t="str">
        <v>Quote needed</v>
      </c>
      <c r="M46" s="29" t="str">
        <v>Search supplier</v>
      </c>
      <c r="N46" s="10" t="str">
        <v>https://www.mouser.com/c/?q=RC0805FR-07100RL</v>
      </c>
      <c r="O46" s="10" t="str">
        <v>Unit price needed; excluded from priced subtotal until entered. Supplier search link only; exact listing/quote needed.</v>
      </c>
    </row>
    <row r="47" ht="22" customHeight="1">
      <c r="A47" s="10" t="str">
        <v>IC</v>
      </c>
      <c r="B47" s="10" t="str">
        <v>U1</v>
      </c>
      <c r="C47" s="10" t="str">
        <v>LTC4368HMS-1-PBF</v>
      </c>
      <c r="D47" s="10" t="str">
        <v>Analog Devices</v>
      </c>
      <c r="E47" s="10" t="str">
        <v>LTC4368HMS-1#TRPBF</v>
      </c>
      <c r="F47" s="23" t="n">
        <v>1</v>
      </c>
      <c r="G47" s="23" t="n">
        <f>$B$4</f>
        <v>5</v>
      </c>
      <c r="H47" s="23" t="n">
        <f>F47*G47</f>
        <v>5</v>
      </c>
      <c r="I47" s="24"/>
      <c r="J47" s="19" t="str">
        <f>IF(ISNUMBER(I47),F47*I47,"")</f>
      </c>
      <c r="K47" s="19" t="str">
        <f>IF(ISNUMBER(I47),H47*I47,"")</f>
      </c>
      <c r="L47" s="10" t="str">
        <v>Newark</v>
      </c>
      <c r="M47" s="29" t="str">
        <v>Supplier page</v>
      </c>
      <c r="N47" s="10" t="str">
        <v>https://www.newark.com/analog-devices/ltc4368hms-1-trpbf/battery-protector-2-5v-60v-5ua/dp/17AN6956</v>
      </c>
      <c r="O47" s="10" t="str">
        <v>Unit price needed; excluded from priced subtotal until entered.</v>
      </c>
    </row>
    <row r="48" ht="22" customHeight="1">
      <c r="A48" s="10" t="str">
        <v>IC</v>
      </c>
      <c r="B48" s="10" t="str">
        <v>U2</v>
      </c>
      <c r="C48" s="10" t="str">
        <v>INA228AIDGSR</v>
      </c>
      <c r="D48" s="10" t="str">
        <v>Texas Instruments</v>
      </c>
      <c r="E48" s="10" t="str">
        <v>INA228AIDGSR</v>
      </c>
      <c r="F48" s="23" t="n">
        <v>1</v>
      </c>
      <c r="G48" s="23" t="n">
        <f>$B$4</f>
        <v>5</v>
      </c>
      <c r="H48" s="23" t="n">
        <f>F48*G48</f>
        <v>5</v>
      </c>
      <c r="I48" s="24" t="n">
        <v>4.68</v>
      </c>
      <c r="J48" s="19" t="n">
        <f>IF(ISNUMBER(I48),F48*I48,"")</f>
        <v>4.68</v>
      </c>
      <c r="K48" s="19" t="n">
        <f>IF(ISNUMBER(I48),H48*I48,"")</f>
        <v>23.4</v>
      </c>
      <c r="L48" s="10" t="str">
        <v>DigiKey</v>
      </c>
      <c r="M48" s="29" t="str">
        <v>Supplier page</v>
      </c>
      <c r="N48" s="10" t="str">
        <v>https://www.digikey.com/en/products/detail/texas-instruments/INA228AIDGSR/13691042</v>
      </c>
      <c r="O48" s="10" t="str">
        <v>Budget carried from supplied workbook (2026-09-16); price/stock not rechecked.</v>
      </c>
    </row>
    <row r="49" ht="22" customHeight="1">
      <c r="A49" s="10" t="str">
        <v>IC</v>
      </c>
      <c r="B49" s="10" t="str">
        <v>U3</v>
      </c>
      <c r="C49" s="10" t="str">
        <v>LT3010EMS8E</v>
      </c>
      <c r="D49" s="10" t="str">
        <v>Analog Devices</v>
      </c>
      <c r="E49" s="10" t="str">
        <v>LT3010EMS8E#TRPBF</v>
      </c>
      <c r="F49" s="23" t="n">
        <v>1</v>
      </c>
      <c r="G49" s="23" t="n">
        <f>$B$4</f>
        <v>5</v>
      </c>
      <c r="H49" s="23" t="n">
        <f>F49*G49</f>
        <v>5</v>
      </c>
      <c r="I49" s="24" t="n">
        <v>6.45</v>
      </c>
      <c r="J49" s="19" t="n">
        <f>IF(ISNUMBER(I49),F49*I49,"")</f>
        <v>6.45</v>
      </c>
      <c r="K49" s="19" t="n">
        <f>IF(ISNUMBER(I49),H49*I49,"")</f>
        <v>32.25</v>
      </c>
      <c r="L49" s="10" t="str">
        <v>DigiKey</v>
      </c>
      <c r="M49" s="29" t="str">
        <v>Supplier page</v>
      </c>
      <c r="N49" s="10" t="str">
        <v>https://www.digikey.com/en/products/detail/analog-devices-inc/LT3010EMS8E-TRPBF/960041</v>
      </c>
      <c r="O49" s="10" t="str">
        <v>Budget carried from supplied workbook (2026-09-16); price/stock not rechecked.</v>
      </c>
    </row>
    <row r="50" ht="22" customHeight="1">
      <c r="A50" s="10" t="str">
        <v>IC</v>
      </c>
      <c r="B50" s="10" t="str">
        <v>U4</v>
      </c>
      <c r="C50" s="10" t="str">
        <v>74AUP1G07GW</v>
      </c>
      <c r="D50" s="10" t="str">
        <v>Nexperia</v>
      </c>
      <c r="E50" s="10" t="str">
        <v>74AUP1G07GW,125</v>
      </c>
      <c r="F50" s="23" t="n">
        <v>1</v>
      </c>
      <c r="G50" s="23" t="n">
        <f>$B$4</f>
        <v>5</v>
      </c>
      <c r="H50" s="23" t="n">
        <f>F50*G50</f>
        <v>5</v>
      </c>
      <c r="I50" s="24" t="n">
        <v>0.19</v>
      </c>
      <c r="J50" s="19" t="n">
        <f>IF(ISNUMBER(I50),F50*I50,"")</f>
        <v>0.19</v>
      </c>
      <c r="K50" s="19" t="n">
        <f>IF(ISNUMBER(I50),H50*I50,"")</f>
        <v>0.95</v>
      </c>
      <c r="L50" s="10" t="str">
        <v>DigiKey</v>
      </c>
      <c r="M50" s="29" t="str">
        <v>Supplier page</v>
      </c>
      <c r="N50" s="10" t="str">
        <v>https://www.digikey.com/en/products/detail/nexperia-usa-inc/74AUP1G07GW-125/1300720</v>
      </c>
      <c r="O50" s="10" t="str">
        <v>Budget carried from supplied workbook (2026-09-16); price/stock not rechecked.</v>
      </c>
    </row>
    <row r="51" ht="22" customHeight="1">
      <c r="A51" s="10" t="str">
        <v>IC</v>
      </c>
      <c r="B51" s="10" t="str">
        <v>U5</v>
      </c>
      <c r="C51" s="10" t="str">
        <v>LTC4359IMS8</v>
      </c>
      <c r="D51" s="10" t="str">
        <v>Analog Devices</v>
      </c>
      <c r="E51" s="10" t="str">
        <v>LTC4359IMS8#TRPBF</v>
      </c>
      <c r="F51" s="23" t="n">
        <v>1</v>
      </c>
      <c r="G51" s="23" t="n">
        <f>$B$4</f>
        <v>5</v>
      </c>
      <c r="H51" s="23" t="n">
        <f>F51*G51</f>
        <v>5</v>
      </c>
      <c r="I51" s="24"/>
      <c r="J51" s="19" t="str">
        <f>IF(ISNUMBER(I51),F51*I51,"")</f>
      </c>
      <c r="K51" s="19" t="str">
        <f>IF(ISNUMBER(I51),H51*I51,"")</f>
      </c>
      <c r="L51" s="10" t="str">
        <v>Quote needed</v>
      </c>
      <c r="M51" s="29" t="str">
        <v>Search supplier</v>
      </c>
      <c r="N51" s="10" t="str">
        <v>https://www.mouser.com/c/?q=LTC4359IMS8%23TRPBF</v>
      </c>
      <c r="O51" s="10" t="str">
        <v>Unit price needed; excluded from priced subtotal until entered. Supplier search link only; exact listing/quote needed.</v>
      </c>
    </row>
    <row r="52" ht="22" customHeight="1">
      <c r="A52" s="10" t="str">
        <v>Fuse Holder</v>
      </c>
      <c r="B52" s="10" t="str">
        <v>F1-holder</v>
      </c>
      <c r="C52" s="10" t="str">
        <v>MINI fuse holder</v>
      </c>
      <c r="D52" s="10" t="str">
        <v>Keystone Electronics</v>
      </c>
      <c r="E52" s="10" t="str">
        <v>3568</v>
      </c>
      <c r="F52" s="23" t="n">
        <v>1</v>
      </c>
      <c r="G52" s="23" t="n">
        <f>$B$4</f>
        <v>5</v>
      </c>
      <c r="H52" s="23" t="n">
        <f>F52*G52</f>
        <v>5</v>
      </c>
      <c r="I52" s="24" t="n">
        <v>1.31</v>
      </c>
      <c r="J52" s="19" t="n">
        <f>IF(ISNUMBER(I52),F52*I52,"")</f>
        <v>1.31</v>
      </c>
      <c r="K52" s="19" t="n">
        <f>IF(ISNUMBER(I52),H52*I52,"")</f>
        <v>6.550000000000001</v>
      </c>
      <c r="L52" s="10" t="str">
        <v>DigiKey</v>
      </c>
      <c r="M52" s="29" t="str">
        <v>Supplier page</v>
      </c>
      <c r="N52" s="10" t="str">
        <v>https://www.digikey.com/en/products/detail/keystone-electronics/3568/2137306</v>
      </c>
      <c r="O52" s="10" t="str">
        <v>Separate purchased holder for F1; budget carried from supplied workbook.</v>
      </c>
    </row>
    <row r="53" ht="25" customHeight="1">
      <c r="A53" s="25"/>
      <c r="B53" s="25" t="str">
        <v>PRICED TOTAL (PARTIAL)</v>
      </c>
      <c r="C53" s="25"/>
      <c r="D53" s="25"/>
      <c r="E53" s="25"/>
      <c r="F53" s="25"/>
      <c r="G53" s="25"/>
      <c r="H53" s="25"/>
      <c r="I53" s="26"/>
      <c r="J53" s="26" t="n">
        <f>SUM(J10:J52)</f>
        <v>31.410000000000004</v>
      </c>
      <c r="K53" s="26" t="n">
        <f>SUM(K10:K52)</f>
        <v>157.05</v>
      </c>
      <c r="L53" s="25"/>
      <c r="M53" s="25"/>
      <c r="N53" s="25"/>
      <c r="O53" s="25"/>
    </row>
  </sheetData>
  <mergeCells>
    <mergeCell ref="B1:M1"/>
    <mergeCell ref="B2:M2"/>
    <mergeCell ref="C5:M5"/>
  </mergeCells>
  <conditionalFormatting sqref="I10:I52">
    <cfRule type="containsBlanks" dxfId="0" priority="1"/>
  </conditionalFormatting>
  <dataValidations count="1">
    <dataValidation type="whole" operator="between" sqref="B4">
      <formula1>1</formula1>
      <formula2>10000</formula2>
    </dataValidation>
  </dataValidations>
  <hyperlinks>
    <hyperlink ref="M10" r:id="rIdLink1"/>
    <hyperlink ref="M11" r:id="rIdLink2"/>
    <hyperlink ref="M12" r:id="rIdLink3"/>
    <hyperlink ref="M13" r:id="rIdLink4"/>
    <hyperlink ref="M14" r:id="rIdLink5"/>
    <hyperlink ref="M15" r:id="rIdLink6"/>
    <hyperlink ref="M16" r:id="rIdLink7"/>
    <hyperlink ref="M20" r:id="rIdLink8"/>
    <hyperlink ref="M21" r:id="rIdLink9"/>
    <hyperlink ref="M23" r:id="rIdLink10"/>
    <hyperlink ref="M24" r:id="rIdLink11"/>
    <hyperlink ref="M25" r:id="rIdLink12"/>
    <hyperlink ref="M26" r:id="rIdLink13"/>
    <hyperlink ref="M27" r:id="rIdLink14"/>
    <hyperlink ref="M28" r:id="rIdLink15"/>
    <hyperlink ref="M29" r:id="rIdLink16"/>
    <hyperlink ref="M30" r:id="rIdLink17"/>
    <hyperlink ref="M31" r:id="rIdLink18"/>
    <hyperlink ref="M32" r:id="rIdLink19"/>
    <hyperlink ref="M33" r:id="rIdLink20"/>
    <hyperlink ref="M34" r:id="rIdLink21"/>
    <hyperlink ref="M35" r:id="rIdLink22"/>
    <hyperlink ref="M36" r:id="rIdLink23"/>
    <hyperlink ref="M37" r:id="rIdLink24"/>
    <hyperlink ref="M38" r:id="rIdLink25"/>
    <hyperlink ref="M39" r:id="rIdLink26"/>
    <hyperlink ref="M40" r:id="rIdLink27"/>
    <hyperlink ref="M41" r:id="rIdLink28"/>
    <hyperlink ref="M42" r:id="rIdLink29"/>
    <hyperlink ref="M43" r:id="rIdLink30"/>
    <hyperlink ref="M44" r:id="rIdLink31"/>
    <hyperlink ref="M45" r:id="rIdLink32"/>
    <hyperlink ref="M46" r:id="rIdLink33"/>
    <hyperlink ref="M47" r:id="rIdLink34"/>
    <hyperlink ref="M48" r:id="rIdLink35"/>
    <hyperlink ref="M49" r:id="rIdLink36"/>
    <hyperlink ref="M50" r:id="rIdLink37"/>
    <hyperlink ref="M51" r:id="rIdLink38"/>
    <hyperlink ref="M52" r:id="rIdLink39"/>
  </hyperlinks>
  <pageMargins left="0.7" right="0.7" top="0.75" bottom="0.75" header="0.3" footer="0.3"/>
  <tableParts count="1">
    <tablePart r:id="Rff66858d909b455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 zoomScale="90" topLeftCell="A1"/>
  </sheetViews>
  <sheetFormatPr defaultRowHeight="15"/>
  <cols>
    <col min="1" max="1" width="12" hidden="0" customWidth="1"/>
    <col min="2" max="2" width="8" hidden="0" customWidth="1"/>
    <col min="3" max="3" width="24" hidden="0" customWidth="1"/>
    <col min="4" max="4" width="44" hidden="0" customWidth="1"/>
    <col min="5" max="5" width="42" hidden="0" customWidth="1"/>
    <col min="6" max="6" width="20" hidden="0" customWidth="1"/>
    <col min="7" max="7" width="31" hidden="0" customWidth="1"/>
    <col min="8" max="8" width="20" hidden="1" customWidth="1"/>
    <col min="9" max="9" width="16" hidden="1" customWidth="1"/>
    <col min="10" max="10" width="25" hidden="1" customWidth="1"/>
    <col min="11" max="11" width="60" hidden="0" customWidth="1"/>
    <col min="12" max="12" width="25" hidden="0" customWidth="1"/>
    <col min="13" max="13" width="26" hidden="0" customWidth="1"/>
  </cols>
  <sheetData>
    <row r="1" ht="26" customHeight="1">
      <c r="A1" s="22" t="str">
        <v>Osiris PDB Rev A — Updated Engineering BOM Detail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ht="22" customHeight="1">
      <c r="A2" s="10" t="str">
        <v>Source: current Osiris_PDB_RevA.kicad_sch exported 10/01/2026; 69 schematic components plus separate F1 holder. Quantity 0 means DNP or bare PCB feature.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22" customHeight="1" hidden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30" customHeight="1">
      <c r="A4" s="9" t="str">
        <v>Reference</v>
      </c>
      <c r="B4" s="9" t="str">
        <v>Quantity</v>
      </c>
      <c r="C4" s="9" t="str">
        <v>Value</v>
      </c>
      <c r="D4" s="9" t="str">
        <v>Specification</v>
      </c>
      <c r="E4" s="9" t="str">
        <v>Footprint</v>
      </c>
      <c r="F4" s="9" t="str">
        <v>Manufacturer</v>
      </c>
      <c r="G4" s="9" t="str">
        <v>MPN</v>
      </c>
      <c r="H4" s="9" t="str">
        <v>Holder Manufacturer</v>
      </c>
      <c r="I4" s="9" t="str">
        <v>Holder MPN</v>
      </c>
      <c r="J4" s="9" t="str">
        <v>Holder Datasheet</v>
      </c>
      <c r="K4" s="9" t="str">
        <v>Selection Status</v>
      </c>
      <c r="L4" s="9" t="str">
        <v>Datasheet</v>
      </c>
      <c r="M4" s="9" t="str">
        <v>BOM Role</v>
      </c>
    </row>
    <row r="5" ht="31" hidden="0" customHeight="1">
      <c r="A5" s="10" t="str">
        <v>C1</v>
      </c>
      <c r="B5" s="10" t="n">
        <v>1</v>
      </c>
      <c r="C5" s="10" t="str">
        <v>22n</v>
      </c>
      <c r="D5" s="10" t="str">
        <v>100V C0G 5%</v>
      </c>
      <c r="E5" s="10" t="str">
        <v>Capacitor_SMD:C_0805_2012Metric</v>
      </c>
      <c r="F5" s="10" t="str">
        <v>TDK</v>
      </c>
      <c r="G5" s="10" t="str">
        <v>C2012C0G2A223J125AC</v>
      </c>
      <c r="H5" s="10"/>
      <c r="I5" s="10"/>
      <c r="J5" s="10"/>
      <c r="K5" s="10" t="str">
        <v>22 nF 5% C0G in series with R4 from GATE_PIN to GND. PDB-only candidate; original Osiris eFuse configuration retained.</v>
      </c>
      <c r="L5" s="10" t="inlineStr">
        <is>
          <t>Open datasheet</t>
        </is>
      </c>
      <c r="M5" s="10" t="str">
        <v>Schematic component</v>
      </c>
    </row>
    <row r="6" ht="31" hidden="0" customHeight="1">
      <c r="A6" s="10" t="str">
        <v>C2</v>
      </c>
      <c r="B6" s="10" t="n">
        <v>1</v>
      </c>
      <c r="C6" s="10" t="str">
        <v>1U0</v>
      </c>
      <c r="D6" s="10" t="str">
        <v>50V X7R</v>
      </c>
      <c r="E6" s="10" t="str">
        <v>Capacitor_SMD:C_0805_2012Metric</v>
      </c>
      <c r="F6" s="10" t="str">
        <v>TDK</v>
      </c>
      <c r="G6" s="10" t="str">
        <v>C2012X7R1H105K125AB</v>
      </c>
      <c r="H6" s="10"/>
      <c r="I6" s="10"/>
      <c r="J6" s="10"/>
      <c r="K6" s="10" t="str">
        <v>Nominal specification verified; DC-bias and circuit validation pending</v>
      </c>
      <c r="L6" s="10" t="inlineStr">
        <is>
          <t>Open datasheet</t>
        </is>
      </c>
      <c r="M6" s="10" t="str">
        <v>Schematic component</v>
      </c>
    </row>
    <row r="7" ht="31" hidden="0" customHeight="1">
      <c r="A7" s="10" t="str">
        <v>C3</v>
      </c>
      <c r="B7" s="10" t="n">
        <v>1</v>
      </c>
      <c r="C7" s="10" t="str">
        <v>100n</v>
      </c>
      <c r="D7" s="10" t="str">
        <v>16V X7R</v>
      </c>
      <c r="E7" s="10" t="str">
        <v>Capacitor_SMD:C_0603_1608Metric</v>
      </c>
      <c r="F7" s="10" t="str">
        <v>KEMET</v>
      </c>
      <c r="G7" s="10" t="str">
        <v>C0603C104K4RACTU</v>
      </c>
      <c r="H7" s="10"/>
      <c r="I7" s="10"/>
      <c r="J7" s="10"/>
      <c r="K7" s="10" t="str">
        <v>Nominal specification verified; DC-bias and circuit validation pending</v>
      </c>
      <c r="L7" s="10" t="inlineStr">
        <is>
          <t>Open datasheet</t>
        </is>
      </c>
      <c r="M7" s="10" t="str">
        <v>Schematic component</v>
      </c>
    </row>
    <row r="8" ht="22" hidden="0" customHeight="1">
      <c r="A8" s="10" t="str">
        <v>C4</v>
      </c>
      <c r="B8" s="10" t="n">
        <v>1</v>
      </c>
      <c r="C8" s="10" t="str">
        <v>10u</v>
      </c>
      <c r="D8" s="10" t="str">
        <v>50V X7R</v>
      </c>
      <c r="E8" s="10" t="str">
        <v>Capacitor_SMD:C_1206_3216Metric</v>
      </c>
      <c r="F8" s="10" t="str">
        <v>TDK</v>
      </c>
      <c r="G8" s="10" t="str">
        <v>C3216X7R1H106K160AC</v>
      </c>
      <c r="H8" s="10"/>
      <c r="I8" s="10"/>
      <c r="J8" s="10"/>
      <c r="K8" s="10" t="str">
        <v>10 uF local U3 input capacitor on protected PDB_VOUT.</v>
      </c>
      <c r="L8" s="10" t="inlineStr">
        <is>
          <t>Open datasheet</t>
        </is>
      </c>
      <c r="M8" s="10" t="str">
        <v>Schematic component</v>
      </c>
    </row>
    <row r="9" ht="31" hidden="0" customHeight="1">
      <c r="A9" s="10" t="str">
        <v>C5</v>
      </c>
      <c r="B9" s="10" t="n">
        <v>1</v>
      </c>
      <c r="C9" s="10" t="str">
        <v>100n</v>
      </c>
      <c r="D9" s="10" t="str">
        <v>16V X7R</v>
      </c>
      <c r="E9" s="10" t="str">
        <v>Capacitor_SMD:C_0603_1608Metric</v>
      </c>
      <c r="F9" s="10" t="str">
        <v>KEMET</v>
      </c>
      <c r="G9" s="10" t="str">
        <v>C0603C104K4RACTU</v>
      </c>
      <c r="H9" s="10"/>
      <c r="I9" s="10"/>
      <c r="J9" s="10"/>
      <c r="K9" s="10" t="str">
        <v>Nominal specification verified; DC-bias and circuit validation pending</v>
      </c>
      <c r="L9" s="10" t="inlineStr">
        <is>
          <t>Open datasheet</t>
        </is>
      </c>
      <c r="M9" s="10" t="str">
        <v>Schematic component</v>
      </c>
    </row>
    <row r="10" ht="44" hidden="0" customHeight="1">
      <c r="A10" s="10" t="str">
        <v>C6</v>
      </c>
      <c r="B10" s="10" t="n">
        <v>1</v>
      </c>
      <c r="C10" s="10" t="str">
        <v>10u</v>
      </c>
      <c r="D10" s="10" t="str">
        <v>10V X7R</v>
      </c>
      <c r="E10" s="10" t="str">
        <v>Capacitor_SMD:C_0805_2012Metric</v>
      </c>
      <c r="F10" s="10" t="str">
        <v>TDK</v>
      </c>
      <c r="G10" s="10" t="str">
        <v>C2012X7R1A106K125AC</v>
      </c>
      <c r="H10" s="10"/>
      <c r="I10" s="10"/>
      <c r="J10" s="10"/>
      <c r="K10" s="10" t="str">
        <v>A-P2 LT3010 output capacitor: require &gt;=1 uF effective over bias/temperature and ESR &lt;=3 ohms. Confirm manufacturer bias curve and assembled stability.</v>
      </c>
      <c r="L10" s="10" t="inlineStr">
        <is>
          <t>Open datasheet</t>
        </is>
      </c>
      <c r="M10" s="10" t="str">
        <v>Schematic component</v>
      </c>
    </row>
    <row r="11" ht="31" hidden="0" customHeight="1">
      <c r="A11" s="10" t="str">
        <v>C7</v>
      </c>
      <c r="B11" s="10" t="n">
        <v>1</v>
      </c>
      <c r="C11" s="10" t="str">
        <v>100n</v>
      </c>
      <c r="D11" s="10" t="str">
        <v>50V X7R</v>
      </c>
      <c r="E11" s="10" t="str">
        <v>Capacitor_SMD:C_0603_1608Metric</v>
      </c>
      <c r="F11" s="10" t="str">
        <v>TDK</v>
      </c>
      <c r="G11" s="10" t="str">
        <v>C1608X7R1H104K080AA</v>
      </c>
      <c r="H11" s="10"/>
      <c r="I11" s="10"/>
      <c r="J11" s="10"/>
      <c r="K11" s="10" t="str">
        <v>Nominal specification verified; DC-bias and circuit validation pending</v>
      </c>
      <c r="L11" s="10" t="inlineStr">
        <is>
          <t>Open datasheet</t>
        </is>
      </c>
      <c r="M11" s="10" t="str">
        <v>Schematic component</v>
      </c>
    </row>
    <row r="12" ht="31" hidden="0" customHeight="1">
      <c r="A12" s="10" t="str">
        <v>C8</v>
      </c>
      <c r="B12" s="10" t="n">
        <v>1</v>
      </c>
      <c r="C12" s="10" t="str">
        <v>100n</v>
      </c>
      <c r="D12" s="10" t="str">
        <v>16V X7R</v>
      </c>
      <c r="E12" s="10" t="str">
        <v>Capacitor_SMD:C_0603_1608Metric</v>
      </c>
      <c r="F12" s="10" t="str">
        <v>KEMET</v>
      </c>
      <c r="G12" s="10" t="str">
        <v>C0603C104K4RACTU</v>
      </c>
      <c r="H12" s="10"/>
      <c r="I12" s="10"/>
      <c r="J12" s="10"/>
      <c r="K12" s="10" t="str">
        <v>Nominal specification verified; DC-bias and circuit validation pending</v>
      </c>
      <c r="L12" s="10" t="inlineStr">
        <is>
          <t>Open datasheet</t>
        </is>
      </c>
      <c r="M12" s="10" t="str">
        <v>Schematic component</v>
      </c>
    </row>
    <row r="13" ht="44" hidden="0" customHeight="1">
      <c r="A13" s="10" t="str">
        <v>C9</v>
      </c>
      <c r="B13" s="10" t="n">
        <v>1</v>
      </c>
      <c r="C13" s="10" t="str">
        <v>10u</v>
      </c>
      <c r="D13" s="10" t="str">
        <v>50V X7R</v>
      </c>
      <c r="E13" s="10" t="str">
        <v>Capacitor_SMD:C_1206_3216Metric</v>
      </c>
      <c r="F13" s="10" t="str">
        <v>TDK</v>
      </c>
      <c r="G13" s="10" t="str">
        <v>C3216X7R1H106K160AC</v>
      </c>
      <c r="H13" s="10"/>
      <c r="I13" s="10"/>
      <c r="J13" s="10"/>
      <c r="K13" s="10" t="str">
        <v>Output bulk capacitor; final total downstream capacitance and startup load must meet the proposed September 15 envelope. Inrush not qualified.</v>
      </c>
      <c r="L13" s="10" t="inlineStr">
        <is>
          <t>Open datasheet</t>
        </is>
      </c>
      <c r="M13" s="10" t="str">
        <v>Schematic component</v>
      </c>
    </row>
    <row r="14" ht="31" hidden="0" customHeight="1">
      <c r="A14" s="10" t="str">
        <v>C10</v>
      </c>
      <c r="B14" s="10" t="n">
        <v>1</v>
      </c>
      <c r="C14" s="10" t="str">
        <v>100n</v>
      </c>
      <c r="D14" s="10" t="str">
        <v>16V X7R; LT3010 feedback compensation</v>
      </c>
      <c r="E14" s="10" t="str">
        <v>Capacitor_SMD:C_0603_1608Metric</v>
      </c>
      <c r="F14" s="10" t="str">
        <v>KEMET</v>
      </c>
      <c r="G14" s="10" t="str">
        <v>C0603C104K4RACTU</v>
      </c>
      <c r="H14" s="10"/>
      <c r="I14" s="10"/>
      <c r="J14" s="10"/>
      <c r="K14" s="10" t="str">
        <v>A-P2 U3 feedback network; layout and assembled transient verification required.</v>
      </c>
      <c r="L14" s="10" t="inlineStr">
        <is>
          <t>Open datasheet</t>
        </is>
      </c>
      <c r="M14" s="10" t="str">
        <v>Schematic component</v>
      </c>
    </row>
    <row r="15" ht="44" hidden="0" customHeight="1">
      <c r="A15" s="10" t="str">
        <v>C11</v>
      </c>
      <c r="B15" s="10" t="n">
        <v>1</v>
      </c>
      <c r="C15" s="10" t="str">
        <v>1u</v>
      </c>
      <c r="D15" s="10" t="str">
        <v>63V film 5%</v>
      </c>
      <c r="E15" s="10" t="str">
        <v>Capacitor_THT:C_Rect_L7.2mm_W4.5mm_P5.00mm</v>
      </c>
      <c r="F15" s="10" t="str">
        <v>TDK</v>
      </c>
      <c r="G15" s="10" t="str">
        <v>B32529C0105J189</v>
      </c>
      <c r="H15" s="10"/>
      <c r="I15" s="10"/>
      <c r="J15" s="10"/>
      <c r="K15" s="10" t="str">
        <v>Selected: 1 uF 63 V 5% polyester film. SPICE uses 0.9 uF minimum effective capacitance; verify mounted pulse and temperature behavior.</v>
      </c>
      <c r="L15" s="10" t="inlineStr">
        <is>
          <t>Open datasheet</t>
        </is>
      </c>
      <c r="M15" s="10" t="str">
        <v>Schematic component</v>
      </c>
    </row>
    <row r="16" ht="44" hidden="0" customHeight="1">
      <c r="A16" s="10" t="str">
        <v>C12</v>
      </c>
      <c r="B16" s="10" t="n">
        <v>1</v>
      </c>
      <c r="C16" s="10" t="str">
        <v>1u</v>
      </c>
      <c r="D16" s="10" t="str">
        <v>63V film 5%</v>
      </c>
      <c r="E16" s="10" t="str">
        <v>Capacitor_THT:C_Rect_L7.2mm_W4.5mm_P5.00mm</v>
      </c>
      <c r="F16" s="10" t="str">
        <v>TDK</v>
      </c>
      <c r="G16" s="10" t="str">
        <v>B32529C0105J189</v>
      </c>
      <c r="H16" s="10"/>
      <c r="I16" s="10"/>
      <c r="J16" s="10"/>
      <c r="K16" s="10" t="str">
        <v>Selected: 1 uF 63 V 5% polyester film. SPICE uses 0.9 uF minimum effective capacitance; verify mounted pulse and temperature behavior.</v>
      </c>
      <c r="L16" s="10" t="inlineStr">
        <is>
          <t>Open datasheet</t>
        </is>
      </c>
      <c r="M16" s="10" t="str">
        <v>Schematic component</v>
      </c>
    </row>
    <row r="17" ht="44" hidden="0" customHeight="1">
      <c r="A17" s="10" t="str">
        <v>C13</v>
      </c>
      <c r="B17" s="10" t="n">
        <v>1</v>
      </c>
      <c r="C17" s="10" t="str">
        <v>1u</v>
      </c>
      <c r="D17" s="10" t="str">
        <v>63V film 5%</v>
      </c>
      <c r="E17" s="10" t="str">
        <v>Capacitor_THT:C_Rect_L7.2mm_W4.5mm_P5.00mm</v>
      </c>
      <c r="F17" s="10" t="str">
        <v>TDK</v>
      </c>
      <c r="G17" s="10" t="str">
        <v>B32529C0105J189</v>
      </c>
      <c r="H17" s="10"/>
      <c r="I17" s="10"/>
      <c r="J17" s="10"/>
      <c r="K17" s="10" t="str">
        <v>Selected: 1 uF 63 V 5% polyester film. SPICE uses 0.9 uF minimum effective capacitance; verify mounted pulse and temperature behavior.</v>
      </c>
      <c r="L17" s="10" t="inlineStr">
        <is>
          <t>Open datasheet</t>
        </is>
      </c>
      <c r="M17" s="10" t="str">
        <v>Schematic component</v>
      </c>
    </row>
    <row r="18" ht="44" hidden="0" customHeight="1">
      <c r="A18" s="10" t="str">
        <v>C14</v>
      </c>
      <c r="B18" s="10" t="n">
        <v>1</v>
      </c>
      <c r="C18" s="10" t="str">
        <v>1u</v>
      </c>
      <c r="D18" s="10" t="str">
        <v>63V film 5%</v>
      </c>
      <c r="E18" s="10" t="str">
        <v>Capacitor_THT:C_Rect_L7.2mm_W4.5mm_P5.00mm</v>
      </c>
      <c r="F18" s="10" t="str">
        <v>TDK</v>
      </c>
      <c r="G18" s="10" t="str">
        <v>B32529C0105J189</v>
      </c>
      <c r="H18" s="10"/>
      <c r="I18" s="10"/>
      <c r="J18" s="10"/>
      <c r="K18" s="10" t="str">
        <v>Selected: 1 uF 63 V 5% polyester film. SPICE uses 0.9 uF minimum effective capacitance; verify mounted pulse and temperature behavior.</v>
      </c>
      <c r="L18" s="10" t="inlineStr">
        <is>
          <t>Open datasheet</t>
        </is>
      </c>
      <c r="M18" s="10" t="str">
        <v>Schematic component</v>
      </c>
    </row>
    <row r="19" ht="44" hidden="0" customHeight="1">
      <c r="A19" s="10" t="str">
        <v>C15</v>
      </c>
      <c r="B19" s="10" t="n">
        <v>1</v>
      </c>
      <c r="C19" s="10" t="str">
        <v>1u</v>
      </c>
      <c r="D19" s="10" t="str">
        <v>63V film 5%</v>
      </c>
      <c r="E19" s="10" t="str">
        <v>Capacitor_THT:C_Rect_L7.2mm_W4.5mm_P5.00mm</v>
      </c>
      <c r="F19" s="10" t="str">
        <v>TDK</v>
      </c>
      <c r="G19" s="10" t="str">
        <v>B32529C0105J189</v>
      </c>
      <c r="H19" s="10"/>
      <c r="I19" s="10"/>
      <c r="J19" s="10"/>
      <c r="K19" s="10" t="str">
        <v>Selected: 1 uF 63 V 5% polyester film. SPICE uses 0.9 uF minimum effective capacitance; verify mounted pulse and temperature behavior.</v>
      </c>
      <c r="L19" s="10" t="inlineStr">
        <is>
          <t>Open datasheet</t>
        </is>
      </c>
      <c r="M19" s="10" t="str">
        <v>Schematic component</v>
      </c>
    </row>
    <row r="20" ht="44" hidden="0" customHeight="1">
      <c r="A20" s="10" t="str">
        <v>C16</v>
      </c>
      <c r="B20" s="10" t="n">
        <v>1</v>
      </c>
      <c r="C20" s="10" t="str">
        <v>1u</v>
      </c>
      <c r="D20" s="10" t="str">
        <v>63V film 5%</v>
      </c>
      <c r="E20" s="10" t="str">
        <v>Capacitor_THT:C_Rect_L7.2mm_W4.5mm_P5.00mm</v>
      </c>
      <c r="F20" s="10" t="str">
        <v>TDK</v>
      </c>
      <c r="G20" s="10" t="str">
        <v>B32529C0105J189</v>
      </c>
      <c r="H20" s="10"/>
      <c r="I20" s="10"/>
      <c r="J20" s="10"/>
      <c r="K20" s="10" t="str">
        <v>Selected: 1 uF 63 V 5% polyester film. SPICE uses 0.9 uF minimum effective capacitance; verify mounted pulse and temperature behavior.</v>
      </c>
      <c r="L20" s="10" t="inlineStr">
        <is>
          <t>Open datasheet</t>
        </is>
      </c>
      <c r="M20" s="10" t="str">
        <v>Schematic component</v>
      </c>
    </row>
    <row r="21" ht="44" hidden="0" customHeight="1">
      <c r="A21" s="10" t="str">
        <v>C17</v>
      </c>
      <c r="B21" s="10" t="n">
        <v>1</v>
      </c>
      <c r="C21" s="10" t="str">
        <v>470u 35V LOW-ESR</v>
      </c>
      <c r="D21" s="10" t="str">
        <v>Local low-ESR bulk capacitor at ESC connector; final capacitance and ripple-current rating must be coordinated with the ESC vendor.</v>
      </c>
      <c r="E21" s="10" t="str">
        <v>Capacitor_SMD:CP_Elec_10x10.5</v>
      </c>
      <c r="F21" s="10"/>
      <c r="G21" s="10" t="str"/>
      <c r="H21" s="10"/>
      <c r="I21" s="10"/>
      <c r="J21" s="10"/>
      <c r="K21" s="10" t="str">
        <v>PROVISIONAL 4S value; use 35 V minimum rating and qualify ripple current, ESR, temperature, polarity, and inrush.</v>
      </c>
      <c r="L21" s="10"/>
      <c r="M21" s="10" t="str">
        <v>Schematic component</v>
      </c>
    </row>
    <row r="22" ht="22" hidden="0" customHeight="1">
      <c r="A22" s="10" t="str">
        <v>C18</v>
      </c>
      <c r="B22" s="10" t="n">
        <v>1</v>
      </c>
      <c r="C22" s="10" t="str">
        <v>1u 50V X7R</v>
      </c>
      <c r="D22" s="10" t="str">
        <v>50 V X7R ceramic bypass for the ESC branch</v>
      </c>
      <c r="E22" s="10" t="str">
        <v>Capacitor_SMD:C_0805_2012Metric</v>
      </c>
      <c r="F22" s="10"/>
      <c r="G22" s="10" t="str"/>
      <c r="H22" s="10"/>
      <c r="I22" s="10"/>
      <c r="J22" s="10"/>
      <c r="K22" s="10" t="str"/>
      <c r="L22" s="10"/>
      <c r="M22" s="10" t="str">
        <v>Schematic component</v>
      </c>
    </row>
    <row r="23" ht="31" hidden="0" customHeight="1">
      <c r="A23" s="10" t="str">
        <v>C19</v>
      </c>
      <c r="B23" s="10" t="n">
        <v>1</v>
      </c>
      <c r="C23" s="10" t="str">
        <v>100n 50V X7R</v>
      </c>
      <c r="D23" s="10" t="str">
        <v>50 V X7R high-frequency bypass for the ESC branch</v>
      </c>
      <c r="E23" s="10" t="str">
        <v>Capacitor_SMD:C_0805_2012Metric</v>
      </c>
      <c r="F23" s="10"/>
      <c r="G23" s="10" t="str"/>
      <c r="H23" s="10"/>
      <c r="I23" s="10"/>
      <c r="J23" s="10"/>
      <c r="K23" s="10" t="str"/>
      <c r="L23" s="10"/>
      <c r="M23" s="10" t="str">
        <v>Schematic component</v>
      </c>
    </row>
    <row r="24" ht="44" hidden="0" customHeight="1">
      <c r="A24" s="10" t="str">
        <v>D1</v>
      </c>
      <c r="B24" s="10" t="n">
        <v>1</v>
      </c>
      <c r="C24" s="10" t="str">
        <v>SMAJ24CA</v>
      </c>
      <c r="D24" s="10" t="str">
        <v>Bidirectional 400 W TVS; 24 V standoff, 26.7 V min breakdown, 38.9 V clamp</v>
      </c>
      <c r="E24" s="10" t="str">
        <v>Diode_SMD:D_SMA</v>
      </c>
      <c r="F24" s="10" t="str">
        <v>Bourns</v>
      </c>
      <c r="G24" s="10" t="str">
        <v>SMAJ24CA</v>
      </c>
      <c r="H24" s="10"/>
      <c r="I24" s="10"/>
      <c r="J24" s="10"/>
      <c r="K24" s="10" t="str">
        <v>Bidirectional 24 V TVS candidate; 38.9 V specified clamp is pulse-condition dependent. Source energy, ringing and downstream peak voltage remain open.</v>
      </c>
      <c r="L24" s="10" t="inlineStr">
        <is>
          <t>Open datasheet</t>
        </is>
      </c>
      <c r="M24" s="10" t="str">
        <v>Schematic component</v>
      </c>
    </row>
    <row r="25" ht="31" hidden="0" customHeight="1">
      <c r="A25" s="10" t="str">
        <v>D3</v>
      </c>
      <c r="B25" s="10" t="n">
        <v>1</v>
      </c>
      <c r="C25" s="10" t="str">
        <v>STPST10H100SB</v>
      </c>
      <c r="D25" s="10" t="str">
        <v>100V 10A</v>
      </c>
      <c r="E25" s="10" t="str">
        <v>PDB_Footprints:STPST10H100SB_DPAK</v>
      </c>
      <c r="F25" s="10" t="str">
        <v>STMicroelectronics</v>
      </c>
      <c r="G25" s="10" t="str">
        <v>STPST10H100SB-TR</v>
      </c>
      <c r="H25" s="10"/>
      <c r="I25" s="10"/>
      <c r="J25" s="10"/>
      <c r="K25" s="10" t="str">
        <v>Selected power clamp. Connect both anode leads to GND and cathode tab to PDB_VOUT. Pulse/thermal validation required.</v>
      </c>
      <c r="L25" s="10" t="inlineStr">
        <is>
          <t>Open datasheet</t>
        </is>
      </c>
      <c r="M25" s="10" t="str">
        <v>Schematic component</v>
      </c>
    </row>
    <row r="26" ht="31" hidden="0" customHeight="1">
      <c r="A26" s="10" t="str">
        <v>D4</v>
      </c>
      <c r="B26" s="10" t="n">
        <v>1</v>
      </c>
      <c r="C26" s="10" t="str">
        <v>SMAJ24CA</v>
      </c>
      <c r="D26" s="10" t="str">
        <v>Bidirectional 400 W TVS; 24 V standoff, 26.7 V min breakdown, 38.9 V clamp</v>
      </c>
      <c r="E26" s="10" t="str">
        <v>Diode_SMD:D_SMA</v>
      </c>
      <c r="F26" s="10" t="str">
        <v>Bourns</v>
      </c>
      <c r="G26" s="10" t="str">
        <v>SMAJ24CA</v>
      </c>
      <c r="H26" s="10"/>
      <c r="I26" s="10"/>
      <c r="J26" s="10"/>
      <c r="K26" s="10" t="str">
        <v>Selected: local bidirectional clamp from IDEAL_IN to U5 reference IDEAL_VSS.</v>
      </c>
      <c r="L26" s="10" t="inlineStr">
        <is>
          <t>Open datasheet</t>
        </is>
      </c>
      <c r="M26" s="10" t="str">
        <v>Schematic component</v>
      </c>
    </row>
    <row r="27" ht="57" hidden="0" customHeight="1">
      <c r="A27" s="10" t="str">
        <v>D5</v>
      </c>
      <c r="B27" s="10" t="n">
        <v>1</v>
      </c>
      <c r="C27" s="10" t="str">
        <v>SMBJ24CA</v>
      </c>
      <c r="D27" s="10" t="str">
        <v>Bidirectional 24 V TVS candidate for local ESC connector ringing control; validate pulse energy and clamp voltage on the installed harness.</v>
      </c>
      <c r="E27" s="10" t="str">
        <v>Diode_SMD:D_SMB</v>
      </c>
      <c r="F27" s="10"/>
      <c r="G27" s="10" t="str"/>
      <c r="H27" s="10"/>
      <c r="I27" s="10"/>
      <c r="J27" s="10"/>
      <c r="K27" s="10" t="str">
        <v>PROVISIONAL: local transient suppressor only; not a substitute for ESC input capacitors or harness testing.</v>
      </c>
      <c r="L27" s="10"/>
      <c r="M27" s="10" t="str">
        <v>Schematic component</v>
      </c>
    </row>
    <row r="28" ht="31" hidden="0" customHeight="1">
      <c r="A28" s="10" t="str">
        <v>F1</v>
      </c>
      <c r="B28" s="10" t="n">
        <v>1</v>
      </c>
      <c r="C28" s="10" t="str">
        <v>4A MINI</v>
      </c>
      <c r="D28" s="10" t="str">
        <v>4 A, 32 VDC MINI blade fuse; backup protection for a fault the MOSFETs cannot interrupt</v>
      </c>
      <c r="E28" s="10" t="str">
        <v>Fuse:Fuseholder_Blade_Mini_Keystone_3568</v>
      </c>
      <c r="F28" s="10" t="str">
        <v>Littelfuse</v>
      </c>
      <c r="G28" s="10" t="str">
        <v>0297004.WXNV</v>
      </c>
      <c r="H28" s="10" t="str">
        <v>Keystone Electronics</v>
      </c>
      <c r="I28" s="10" t="str">
        <v>3568</v>
      </c>
      <c r="J28" s="10" t="inlineStr">
        <is>
          <t>Open datasheet</t>
        </is>
      </c>
      <c r="K28" s="10" t="str">
        <v>4 A 32 V MINI; load envelope 2.5 A maximum. Fuse, source and conductor coordination remains a release requirement.</v>
      </c>
      <c r="L28" s="10" t="inlineStr">
        <is>
          <t>Open datasheet</t>
        </is>
      </c>
      <c r="M28" s="10" t="str">
        <v>Schematic component</v>
      </c>
    </row>
    <row r="29" ht="44" hidden="0" customHeight="1">
      <c r="A29" s="10" t="str">
        <v>F2</v>
      </c>
      <c r="B29" s="10" t="n">
        <v>1</v>
      </c>
      <c r="C29" s="10" t="str">
        <v>SCHURTER UHS 100A 3-140-177 PROVISIONAL</v>
      </c>
      <c r="D29" s="10" t="str">
        <v>100 A surface-mount high-current fuse candidate for the dedicated ESC branch</v>
      </c>
      <c r="E29" s="10" t="str">
        <v>PDB_Footprints:SCHURTER_UHS_8.4x9.4mm_PROVISIONAL</v>
      </c>
      <c r="F29" s="10" t="str">
        <v>SCHURTER</v>
      </c>
      <c r="G29" s="10" t="str">
        <v>3-140-177</v>
      </c>
      <c r="H29" s="10"/>
      <c r="I29" s="10"/>
      <c r="J29" s="10"/>
      <c r="K29" s="10" t="str">
        <v>PROVISIONAL: verify 60 A continuous temperature rise, 100 A/30 s time-current behavior, 4S pack fault current, breaking capacity, and required heavy-copper land pattern.</v>
      </c>
      <c r="L29" s="10" t="inlineStr">
        <is>
          <t>Open datasheet</t>
        </is>
      </c>
      <c r="M29" s="10" t="str">
        <v>Schematic component</v>
      </c>
    </row>
    <row r="30" ht="31" hidden="0" customHeight="1">
      <c r="A30" s="10" t="str">
        <v>H1</v>
      </c>
      <c r="B30" s="10" t="n">
        <v>0</v>
      </c>
      <c r="C30" s="10" t="str">
        <v>MountingHole</v>
      </c>
      <c r="D30" s="10" t="str">
        <v>Mounting Hole without connection</v>
      </c>
      <c r="E30" s="10" t="str">
        <v>MountingHole:MountingHole_3.2mm_M3_ISO14580</v>
      </c>
      <c r="F30" s="10"/>
      <c r="G30" s="10" t="str"/>
      <c r="H30" s="10"/>
      <c r="I30" s="10"/>
      <c r="J30" s="10"/>
      <c r="K30" s="10" t="str"/>
      <c r="L30" s="10"/>
      <c r="M30" s="10" t="str">
        <v>Bare PCB feature</v>
      </c>
    </row>
    <row r="31" ht="31" hidden="0" customHeight="1">
      <c r="A31" s="10" t="str">
        <v>H2</v>
      </c>
      <c r="B31" s="10" t="n">
        <v>0</v>
      </c>
      <c r="C31" s="10" t="str">
        <v>MountingHole</v>
      </c>
      <c r="D31" s="10" t="str">
        <v>Mounting Hole without connection</v>
      </c>
      <c r="E31" s="10" t="str">
        <v>MountingHole:MountingHole_3.2mm_M3_ISO14580</v>
      </c>
      <c r="F31" s="10"/>
      <c r="G31" s="10" t="str"/>
      <c r="H31" s="10"/>
      <c r="I31" s="10"/>
      <c r="J31" s="10"/>
      <c r="K31" s="10" t="str"/>
      <c r="L31" s="10"/>
      <c r="M31" s="10" t="str">
        <v>Bare PCB feature</v>
      </c>
    </row>
    <row r="32" ht="31" hidden="0" customHeight="1">
      <c r="A32" s="10" t="str">
        <v>H3</v>
      </c>
      <c r="B32" s="10" t="n">
        <v>0</v>
      </c>
      <c r="C32" s="10" t="str">
        <v>MountingHole</v>
      </c>
      <c r="D32" s="10" t="str">
        <v>Mounting Hole without connection</v>
      </c>
      <c r="E32" s="10" t="str">
        <v>MountingHole:MountingHole_3.2mm_M3_ISO14580</v>
      </c>
      <c r="F32" s="10"/>
      <c r="G32" s="10" t="str"/>
      <c r="H32" s="10"/>
      <c r="I32" s="10"/>
      <c r="J32" s="10"/>
      <c r="K32" s="10" t="str"/>
      <c r="L32" s="10"/>
      <c r="M32" s="10" t="str">
        <v>Bare PCB feature</v>
      </c>
    </row>
    <row r="33" ht="31" hidden="0" customHeight="1">
      <c r="A33" s="10" t="str">
        <v>H4</v>
      </c>
      <c r="B33" s="10" t="n">
        <v>0</v>
      </c>
      <c r="C33" s="10" t="str">
        <v>MountingHole</v>
      </c>
      <c r="D33" s="10" t="str">
        <v>Mounting Hole without connection</v>
      </c>
      <c r="E33" s="10" t="str">
        <v>MountingHole:MountingHole_3.2mm_M3_ISO14580</v>
      </c>
      <c r="F33" s="10"/>
      <c r="G33" s="10" t="str"/>
      <c r="H33" s="10"/>
      <c r="I33" s="10"/>
      <c r="J33" s="10"/>
      <c r="K33" s="10" t="str"/>
      <c r="L33" s="10"/>
      <c r="M33" s="10" t="str">
        <v>Bare PCB feature</v>
      </c>
    </row>
    <row r="34" ht="44" hidden="0" customHeight="1">
      <c r="A34" s="10" t="str">
        <v>J1</v>
      </c>
      <c r="B34" s="10" t="n">
        <v>1</v>
      </c>
      <c r="C34" s="10" t="str">
        <v>MKDSP 25/2-15.00 PROVISIONAL</v>
      </c>
      <c r="D34" s="10" t="str">
        <v>4S battery input; pin 1 GND, pin 2 VBAT_RAW. Phoenix Contact 1932588 terminal; footprint and assembly require verification.</v>
      </c>
      <c r="E34" s="10" t="str">
        <v>PDB_Footprints:MKDSP25_2_15mm_PROVISIONAL</v>
      </c>
      <c r="F34" s="10" t="str">
        <v>Phoenix Contact</v>
      </c>
      <c r="G34" s="10" t="str">
        <v>1932588</v>
      </c>
      <c r="H34" s="10"/>
      <c r="I34" s="10"/>
      <c r="J34" s="10"/>
      <c r="K34" s="10" t="str">
        <v>LAB DESIGN IN PROGRESS: verify exact terminal, footprint, conductor, wave-solder process, and power-path temperature before full-current use.</v>
      </c>
      <c r="L34" s="10" t="inlineStr">
        <is>
          <t>Open datasheet</t>
        </is>
      </c>
      <c r="M34" s="10" t="str">
        <v>Schematic component</v>
      </c>
    </row>
    <row r="35" ht="44" hidden="0" customHeight="1">
      <c r="A35" s="10" t="str">
        <v>J2</v>
      </c>
      <c r="B35" s="10" t="n">
        <v>1</v>
      </c>
      <c r="C35" s="10" t="str">
        <v>OSIRIS_I2C</v>
      </c>
      <c r="D35" s="10" t="str">
        <v>JST GH 4-way I2C: 1 NC, 2 SCL, 3 SDA, 4 GND. New Osiris interface and cable continuity require verification.</v>
      </c>
      <c r="E35" s="10" t="str">
        <v>Connector_JST:JST_GH_BM04B-GHS-TBT_1x04-1MP_P1.25mm_Vertical</v>
      </c>
      <c r="F35" s="10" t="str">
        <v>JST</v>
      </c>
      <c r="G35" s="10" t="str">
        <v>BM04B-GHS-TBT(LF)(SN)</v>
      </c>
      <c r="H35" s="10"/>
      <c r="I35" s="10"/>
      <c r="J35" s="10"/>
      <c r="K35" s="10" t="str">
        <v>PDB pinout fixed; Osiris R74/R75 12k pull-ups to switched 3.3 V; 100 kHz, &lt;=90 pF total bus capacitance. No power on pin 1. Physical cable mating and new Rev B mapping unverified.</v>
      </c>
      <c r="L35" s="10" t="inlineStr">
        <is>
          <t>Open datasheet</t>
        </is>
      </c>
      <c r="M35" s="10" t="str">
        <v>Schematic component</v>
      </c>
    </row>
    <row r="36" ht="57" hidden="0" customHeight="1">
      <c r="A36" s="10" t="str">
        <v>J3</v>
      </c>
      <c r="B36" s="10" t="n">
        <v>1</v>
      </c>
      <c r="C36" s="10" t="str">
        <v>MKDSP 25/2-15.00 PROVISIONAL</v>
      </c>
      <c r="D36" s="10" t="str">
        <v>Dedicated ESC output after F2; pin 1 GND, pin 2 ESC_VBAT. Phoenix Contact 1932588 terminal; footprint and assembly require verification.</v>
      </c>
      <c r="E36" s="10" t="str">
        <v>PDB_Footprints:MKDSP25_2_15mm_PROVISIONAL</v>
      </c>
      <c r="F36" s="10" t="str">
        <v>Phoenix Contact</v>
      </c>
      <c r="G36" s="10" t="str">
        <v>1932588</v>
      </c>
      <c r="H36" s="10"/>
      <c r="I36" s="10"/>
      <c r="J36" s="10"/>
      <c r="K36" s="10" t="str">
        <v>LAB DESIGN IN PROGRESS: verify exact terminal, footprint, conductor, wave-solder process, and power-path temperature before full-current use.</v>
      </c>
      <c r="L36" s="10" t="inlineStr">
        <is>
          <t>Open datasheet</t>
        </is>
      </c>
      <c r="M36" s="10" t="str">
        <v>Schematic component</v>
      </c>
    </row>
    <row r="37" ht="44" hidden="0" customHeight="1">
      <c r="A37" s="10" t="str">
        <v>J4</v>
      </c>
      <c r="B37" s="10" t="n">
        <v>1</v>
      </c>
      <c r="C37" s="10" t="str">
        <v>XT60PW-F</v>
      </c>
      <c r="D37" s="10" t="str">
        <v>Avionics raw-4S output to Osiris: pin 1 GND, pin 2 PDB_VOUT. This connector remains on the protected 4 A avionics branch.</v>
      </c>
      <c r="E37" s="10" t="str">
        <v>Connector_AMASS:AMASS_XT60PW-F_1x02_P7.20mm_Horizontal</v>
      </c>
      <c r="F37" s="10" t="str">
        <v>AMASS</v>
      </c>
      <c r="G37" s="10" t="str">
        <v>XT60PW-F</v>
      </c>
      <c r="H37" s="10"/>
      <c r="I37" s="10"/>
      <c r="J37" s="10"/>
      <c r="K37" s="10" t="str">
        <v>PDB polarity fixed. Verify physical cable contacts and board-edge clearance; old Osiris J16 numbering is not the new Rev B interface.</v>
      </c>
      <c r="L37" s="10" t="inlineStr">
        <is>
          <t>Open datasheet</t>
        </is>
      </c>
      <c r="M37" s="10" t="str">
        <v>Schematic component</v>
      </c>
    </row>
    <row r="38" ht="57" hidden="0" customHeight="1">
      <c r="A38" s="10" t="str">
        <v>Q1</v>
      </c>
      <c r="B38" s="10" t="n">
        <v>1</v>
      </c>
      <c r="C38" s="10" t="str">
        <v>ISC015N06NM5LF2</v>
      </c>
      <c r="D38" s="10" t="str">
        <v>Insulated-Gate Field-Effect Transistor (IGFET), N-Channel, Enhancement, Body Diode, Pin 1 Source, 2 Source, 3 Source, 4 Gate, 5 Drain, 6 Drain, 7 Drain, 8 Drain, 8 Pins</v>
      </c>
      <c r="E38" s="10" t="str">
        <v>PDB_Footprints:ISC015N06NM5LF2_TDSON8FL</v>
      </c>
      <c r="F38" s="10" t="str">
        <v>Infineon</v>
      </c>
      <c r="G38" s="10" t="str">
        <v>ISC015N06NM5LF2ATMA1</v>
      </c>
      <c r="H38" s="10"/>
      <c r="I38" s="10"/>
      <c r="J38" s="10"/>
      <c r="K38" s="10" t="str"/>
      <c r="L38" s="10" t="inlineStr">
        <is>
          <t>Open datasheet</t>
        </is>
      </c>
      <c r="M38" s="10" t="str">
        <v>Schematic component</v>
      </c>
    </row>
    <row r="39" ht="57" hidden="0" customHeight="1">
      <c r="A39" s="10" t="str">
        <v>Q2</v>
      </c>
      <c r="B39" s="10" t="n">
        <v>1</v>
      </c>
      <c r="C39" s="10" t="str">
        <v>ISC015N06NM5LF2</v>
      </c>
      <c r="D39" s="10" t="str">
        <v>Insulated-Gate Field-Effect Transistor (IGFET), N-Channel, Enhancement, Body Diode, Pin 1 Source, 2 Source, 3 Source, 4 Gate, 5 Drain, 6 Drain, 7 Drain, 8 Drain, 8 Pins</v>
      </c>
      <c r="E39" s="10" t="str">
        <v>PDB_Footprints:ISC015N06NM5LF2_TDSON8FL</v>
      </c>
      <c r="F39" s="10" t="str">
        <v>Infineon</v>
      </c>
      <c r="G39" s="10" t="str">
        <v>ISC015N06NM5LF2ATMA1</v>
      </c>
      <c r="H39" s="10"/>
      <c r="I39" s="10"/>
      <c r="J39" s="10"/>
      <c r="K39" s="10" t="str"/>
      <c r="L39" s="10" t="inlineStr">
        <is>
          <t>Open datasheet</t>
        </is>
      </c>
      <c r="M39" s="10" t="str">
        <v>Schematic component</v>
      </c>
    </row>
    <row r="40" ht="31" hidden="0" customHeight="1">
      <c r="A40" s="10" t="str">
        <v>Q3</v>
      </c>
      <c r="B40" s="10" t="n">
        <v>1</v>
      </c>
      <c r="C40" s="10" t="str">
        <v>BSC070N10NS5</v>
      </c>
      <c r="D40" s="10" t="str">
        <v>100V ideal diode MOSFET</v>
      </c>
      <c r="E40" s="10" t="str">
        <v>PDB_Footprints:BSC070N10NS5_TDSON8</v>
      </c>
      <c r="F40" s="10" t="str">
        <v>Infineon</v>
      </c>
      <c r="G40" s="10" t="str">
        <v>BSC070N10NS5ATMA1</v>
      </c>
      <c r="H40" s="10"/>
      <c r="I40" s="10"/>
      <c r="J40" s="10"/>
      <c r="K40" s="10" t="str">
        <v>Selected: 100 V low-charge MOSFET. Source IDEAL_IN, drain VBAT_FUSED, gate IDEAL_GATE.</v>
      </c>
      <c r="L40" s="10" t="inlineStr">
        <is>
          <t>Open datasheet</t>
        </is>
      </c>
      <c r="M40" s="10" t="str">
        <v>Schematic component</v>
      </c>
    </row>
    <row r="41" ht="31" hidden="0" customHeight="1">
      <c r="A41" s="10" t="str">
        <v>R1</v>
      </c>
      <c r="B41" s="10" t="n">
        <v>1</v>
      </c>
      <c r="C41" s="10" t="str">
        <v>237k</v>
      </c>
      <c r="D41" s="10" t="str">
        <v>Resistor</v>
      </c>
      <c r="E41" s="10" t="str">
        <v>Resistor_SMD:R_0805_2012Metric</v>
      </c>
      <c r="F41" s="10" t="str">
        <v>YAGEO</v>
      </c>
      <c r="G41" s="10" t="str">
        <v>RC0805FR-07237KL</v>
      </c>
      <c r="H41" s="10"/>
      <c r="I41" s="10"/>
      <c r="J41" s="10"/>
      <c r="K41" s="10" t="str">
        <v>1% 0805 UV divider. Selected for cold-start threshold margin at 12 V; see A-P3 calculation report.</v>
      </c>
      <c r="L41" s="10" t="inlineStr">
        <is>
          <t>Open datasheet</t>
        </is>
      </c>
      <c r="M41" s="10" t="str">
        <v>Schematic component</v>
      </c>
    </row>
    <row r="42" ht="22" hidden="0" customHeight="1">
      <c r="A42" s="10" t="str">
        <v>R2</v>
      </c>
      <c r="B42" s="10" t="n">
        <v>1</v>
      </c>
      <c r="C42" s="10" t="str">
        <v>11k8</v>
      </c>
      <c r="D42" s="10" t="str">
        <v>Resistor</v>
      </c>
      <c r="E42" s="10" t="str">
        <v>Resistor_SMD:R_0805_2012Metric</v>
      </c>
      <c r="F42" s="10" t="str">
        <v>YAGEO</v>
      </c>
      <c r="G42" s="10" t="str">
        <v>RC0805FR-0711K8L</v>
      </c>
      <c r="H42" s="10"/>
      <c r="I42" s="10"/>
      <c r="J42" s="10"/>
      <c r="K42" s="10" t="str">
        <v>1% 0805; lower UV divider resistor.</v>
      </c>
      <c r="L42" s="10" t="inlineStr">
        <is>
          <t>Open datasheet</t>
        </is>
      </c>
      <c r="M42" s="10" t="str">
        <v>Schematic component</v>
      </c>
    </row>
    <row r="43" ht="22" hidden="0" customHeight="1">
      <c r="A43" s="10" t="str">
        <v>R3</v>
      </c>
      <c r="B43" s="10" t="n">
        <v>1</v>
      </c>
      <c r="C43" s="10" t="str">
        <v>2M0</v>
      </c>
      <c r="D43" s="10" t="str">
        <v>Resistor</v>
      </c>
      <c r="E43" s="10" t="str">
        <v>Resistor_SMD:R_0805_2012Metric</v>
      </c>
      <c r="F43" s="10" t="str">
        <v>YAGEO</v>
      </c>
      <c r="G43" s="10" t="str">
        <v>RC0805FR-072ML</v>
      </c>
      <c r="H43" s="10"/>
      <c r="I43" s="10"/>
      <c r="J43" s="10"/>
      <c r="K43" s="10" t="str">
        <v>Package assigned; MPN and power/tolerance validation pending</v>
      </c>
      <c r="L43" s="10" t="inlineStr">
        <is>
          <t>Open datasheet</t>
        </is>
      </c>
      <c r="M43" s="10" t="str">
        <v>Schematic component</v>
      </c>
    </row>
    <row r="44" ht="31" hidden="0" customHeight="1">
      <c r="A44" s="10" t="str">
        <v>R4</v>
      </c>
      <c r="B44" s="10" t="n">
        <v>1</v>
      </c>
      <c r="C44" s="10" t="str">
        <v>22k</v>
      </c>
      <c r="D44" s="10" t="str">
        <v>Series resistor in gate-to-ground timing branch</v>
      </c>
      <c r="E44" s="10" t="str">
        <v>Resistor_SMD:R_0805_2012Metric</v>
      </c>
      <c r="F44" s="10" t="str">
        <v>YAGEO</v>
      </c>
      <c r="G44" s="10" t="str">
        <v>RC0805FR-0722KL</v>
      </c>
      <c r="H44" s="10"/>
      <c r="I44" s="10"/>
      <c r="J44" s="10"/>
      <c r="K44" s="10" t="str">
        <v>U1 GATE directly drives Q1/Q2. R4 is in series with C1 to ground, per LTC4368 Figure 7.</v>
      </c>
      <c r="L44" s="10"/>
      <c r="M44" s="10" t="str">
        <v>Schematic component</v>
      </c>
    </row>
    <row r="45" ht="44" hidden="0" customHeight="1">
      <c r="A45" s="10" t="str">
        <v>R5</v>
      </c>
      <c r="B45" s="10" t="n">
        <v>1</v>
      </c>
      <c r="C45" s="10" t="str">
        <v>5m</v>
      </c>
      <c r="D45" s="10" t="str">
        <v>1% 2W</v>
      </c>
      <c r="E45" s="10" t="str">
        <v>PDB_Footprints:OH_FC4L64_OHM</v>
      </c>
      <c r="F45" s="10" t="str">
        <v>Ohmite</v>
      </c>
      <c r="G45" s="10" t="str">
        <v>FC4L64R005FER</v>
      </c>
      <c r="H45" s="10"/>
      <c r="I45" s="10"/>
      <c r="J45" s="10"/>
      <c r="K45" s="10" t="str">
        <v>5 mOhm 1% 2 W four-terminal. Nominal breaker 10 A; normal-condition range 7.92-12.12 A. F1 remains 4 A; conductor/fuse coordination required.</v>
      </c>
      <c r="L45" s="10" t="inlineStr">
        <is>
          <t>Open datasheet</t>
        </is>
      </c>
      <c r="M45" s="10" t="str">
        <v>Schematic component</v>
      </c>
    </row>
    <row r="46" ht="22" hidden="0" customHeight="1">
      <c r="A46" s="10" t="str">
        <v>R6</v>
      </c>
      <c r="B46" s="10" t="n">
        <v>1</v>
      </c>
      <c r="C46" s="10" t="str">
        <v>680k</v>
      </c>
      <c r="D46" s="10" t="str">
        <v>Resistor</v>
      </c>
      <c r="E46" s="10" t="str">
        <v>Resistor_SMD:R_0805_2012Metric</v>
      </c>
      <c r="F46" s="10" t="str">
        <v>YAGEO</v>
      </c>
      <c r="G46" s="10" t="str">
        <v>RC0805FR-07680KL</v>
      </c>
      <c r="H46" s="10"/>
      <c r="I46" s="10"/>
      <c r="J46" s="10"/>
      <c r="K46" s="10" t="str">
        <v>Package assigned; MPN and power/tolerance validation pending</v>
      </c>
      <c r="L46" s="10"/>
      <c r="M46" s="10" t="str">
        <v>Schematic component</v>
      </c>
    </row>
    <row r="47" ht="22" hidden="0" customHeight="1">
      <c r="A47" s="10" t="str">
        <v>R7</v>
      </c>
      <c r="B47" s="10" t="n">
        <v>1</v>
      </c>
      <c r="C47" s="10" t="str">
        <v>200k</v>
      </c>
      <c r="D47" s="10" t="str">
        <v>Resistor</v>
      </c>
      <c r="E47" s="10" t="str">
        <v>Resistor_SMD:R_0805_2012Metric</v>
      </c>
      <c r="F47" s="10" t="str">
        <v>YAGEO</v>
      </c>
      <c r="G47" s="10" t="str">
        <v>RC0805FR-07200KL</v>
      </c>
      <c r="H47" s="10"/>
      <c r="I47" s="10"/>
      <c r="J47" s="10"/>
      <c r="K47" s="10" t="str">
        <v>Package assigned; MPN and power/tolerance validation pending</v>
      </c>
      <c r="L47" s="10"/>
      <c r="M47" s="10" t="str">
        <v>Schematic component</v>
      </c>
    </row>
    <row r="48" ht="22" hidden="0" customHeight="1">
      <c r="A48" s="10" t="str">
        <v>R8</v>
      </c>
      <c r="B48" s="10" t="n">
        <v>1</v>
      </c>
      <c r="C48" s="10" t="str">
        <v>10</v>
      </c>
      <c r="D48" s="10" t="str">
        <v>Resistor</v>
      </c>
      <c r="E48" s="10" t="str">
        <v>Resistor_SMD:R_0805_2012Metric</v>
      </c>
      <c r="F48" s="10" t="str">
        <v>YAGEO</v>
      </c>
      <c r="G48" s="10" t="str">
        <v>RC0805FR-0710RL</v>
      </c>
      <c r="H48" s="10"/>
      <c r="I48" s="10"/>
      <c r="J48" s="10"/>
      <c r="K48" s="10" t="str">
        <v>Package assigned; MPN and power/tolerance validation pending</v>
      </c>
      <c r="L48" s="10"/>
      <c r="M48" s="10" t="str">
        <v>Schematic component</v>
      </c>
    </row>
    <row r="49" ht="22" hidden="0" customHeight="1">
      <c r="A49" s="10" t="str">
        <v>R9</v>
      </c>
      <c r="B49" s="10" t="n">
        <v>1</v>
      </c>
      <c r="C49" s="10" t="str">
        <v>10</v>
      </c>
      <c r="D49" s="10" t="str">
        <v>Resistor</v>
      </c>
      <c r="E49" s="10" t="str">
        <v>Resistor_SMD:R_0805_2012Metric</v>
      </c>
      <c r="F49" s="10" t="str">
        <v>YAGEO</v>
      </c>
      <c r="G49" s="10" t="str">
        <v>RC0805FR-0710RL</v>
      </c>
      <c r="H49" s="10"/>
      <c r="I49" s="10"/>
      <c r="J49" s="10"/>
      <c r="K49" s="10" t="str">
        <v>Package assigned; MPN and power/tolerance validation pending</v>
      </c>
      <c r="L49" s="10"/>
      <c r="M49" s="10" t="str">
        <v>Schematic component</v>
      </c>
    </row>
    <row r="50" ht="22" hidden="0" customHeight="1">
      <c r="A50" s="10" t="str">
        <v>R10</v>
      </c>
      <c r="B50" s="10" t="n">
        <v>1</v>
      </c>
      <c r="C50" s="10" t="str">
        <v>4k7</v>
      </c>
      <c r="D50" s="10" t="str">
        <v>Resistor</v>
      </c>
      <c r="E50" s="10" t="str">
        <v>Resistor_SMD:R_0805_2012Metric</v>
      </c>
      <c r="F50" s="10" t="str">
        <v>YAGEO</v>
      </c>
      <c r="G50" s="10" t="str">
        <v>RC0805FR-074K7L</v>
      </c>
      <c r="H50" s="10"/>
      <c r="I50" s="10"/>
      <c r="J50" s="10"/>
      <c r="K50" s="10" t="str">
        <v>Package assigned; MPN and power/tolerance validation pending</v>
      </c>
      <c r="L50" s="10"/>
      <c r="M50" s="10" t="str">
        <v>Schematic component</v>
      </c>
    </row>
    <row r="51" ht="31" hidden="0" customHeight="1">
      <c r="A51" s="10" t="str">
        <v>R11</v>
      </c>
      <c r="B51" s="10" t="n">
        <v>1</v>
      </c>
      <c r="C51" s="10" t="str">
        <v>1k58</v>
      </c>
      <c r="D51" s="10" t="str">
        <v>1% 0.125W; upper feedback resistor</v>
      </c>
      <c r="E51" s="10" t="str">
        <v>Resistor_SMD:R_0805_2012Metric</v>
      </c>
      <c r="F51" s="10" t="str">
        <v>YAGEO</v>
      </c>
      <c r="G51" s="10" t="str">
        <v>RC0805FR-071K58L</v>
      </c>
      <c r="H51" s="10"/>
      <c r="I51" s="10"/>
      <c r="J51" s="10"/>
      <c r="K51" s="10" t="str">
        <v>A-P2 U3 feedback network; layout and assembled transient verification required.</v>
      </c>
      <c r="L51" s="10" t="inlineStr">
        <is>
          <t>Open datasheet</t>
        </is>
      </c>
      <c r="M51" s="10" t="str">
        <v>Schematic component</v>
      </c>
    </row>
    <row r="52" ht="31" hidden="0" customHeight="1">
      <c r="A52" s="10" t="str">
        <v>R12</v>
      </c>
      <c r="B52" s="10" t="n">
        <v>1</v>
      </c>
      <c r="C52" s="10" t="str">
        <v>1k0</v>
      </c>
      <c r="D52" s="10" t="str">
        <v>1% 0.125W; lower feedback resistor</v>
      </c>
      <c r="E52" s="10" t="str">
        <v>Resistor_SMD:R_0805_2012Metric</v>
      </c>
      <c r="F52" s="10" t="str">
        <v>YAGEO</v>
      </c>
      <c r="G52" s="10" t="str">
        <v>RC0805FR-071KL</v>
      </c>
      <c r="H52" s="10"/>
      <c r="I52" s="10"/>
      <c r="J52" s="10"/>
      <c r="K52" s="10" t="str">
        <v>A-P2 U3 feedback network; layout and assembled transient verification required.</v>
      </c>
      <c r="L52" s="10" t="inlineStr">
        <is>
          <t>Open datasheet</t>
        </is>
      </c>
      <c r="M52" s="10" t="str">
        <v>Schematic component</v>
      </c>
    </row>
    <row r="53" ht="22" hidden="0" customHeight="1">
      <c r="A53" s="10" t="str">
        <v>R13</v>
      </c>
      <c r="B53" s="10" t="n">
        <v>1</v>
      </c>
      <c r="C53" s="10" t="str">
        <v>54k9</v>
      </c>
      <c r="D53" s="10" t="str">
        <v>Resistor</v>
      </c>
      <c r="E53" s="10" t="str">
        <v>Resistor_SMD:R_0805_2012Metric</v>
      </c>
      <c r="F53" s="10" t="str">
        <v>YAGEO</v>
      </c>
      <c r="G53" s="10" t="str">
        <v>RC0805FR-0754K9L</v>
      </c>
      <c r="H53" s="10"/>
      <c r="I53" s="10"/>
      <c r="J53" s="10"/>
      <c r="K53" s="10" t="str">
        <v>Rev-B candidate; MPN pending distributor check</v>
      </c>
      <c r="L53" s="10" t="inlineStr">
        <is>
          <t>Open datasheet</t>
        </is>
      </c>
      <c r="M53" s="10" t="str">
        <v>Schematic component</v>
      </c>
    </row>
    <row r="54" ht="31" hidden="0" customHeight="1">
      <c r="A54" s="10" t="str">
        <v>R14</v>
      </c>
      <c r="B54" s="10" t="n">
        <v>1</v>
      </c>
      <c r="C54" s="10" t="str">
        <v>22M</v>
      </c>
      <c r="D54" s="10" t="str">
        <v>Resistor</v>
      </c>
      <c r="E54" s="10" t="str">
        <v>Resistor_SMD:R_0805_2012Metric</v>
      </c>
      <c r="F54" s="10" t="str">
        <v>YAGEO</v>
      </c>
      <c r="G54" s="10" t="str">
        <v>RC0805JR-0722ML</v>
      </c>
      <c r="H54" s="10"/>
      <c r="I54" s="10"/>
      <c r="J54" s="10"/>
      <c r="K54" s="10" t="str">
        <v>22 MOhm 5% gate feedback. Manufacturer order code verified; tolerance included in divider calculation.</v>
      </c>
      <c r="L54" s="10" t="inlineStr">
        <is>
          <t>Open datasheet</t>
        </is>
      </c>
      <c r="M54" s="10" t="str">
        <v>Schematic component</v>
      </c>
    </row>
    <row r="55" ht="22" hidden="0" customHeight="1">
      <c r="A55" s="10" t="str">
        <v>R15</v>
      </c>
      <c r="B55" s="10" t="n">
        <v>1</v>
      </c>
      <c r="C55" s="10" t="str">
        <v>10k</v>
      </c>
      <c r="D55" s="10" t="str">
        <v>Resistor</v>
      </c>
      <c r="E55" s="10" t="str">
        <v>Resistor_SMD:R_0805_2012Metric</v>
      </c>
      <c r="F55" s="10" t="str">
        <v>YAGEO</v>
      </c>
      <c r="G55" s="10" t="str">
        <v>RC0805FR-0710KL</v>
      </c>
      <c r="H55" s="10"/>
      <c r="I55" s="10"/>
      <c r="J55" s="10"/>
      <c r="K55" s="10" t="str">
        <v>Rev-B candidate; MPN pending distributor check</v>
      </c>
      <c r="L55" s="10"/>
      <c r="M55" s="10" t="str">
        <v>Schematic component</v>
      </c>
    </row>
    <row r="56" ht="22" hidden="0" customHeight="1">
      <c r="A56" s="10" t="str">
        <v>R16</v>
      </c>
      <c r="B56" s="10" t="n">
        <v>1</v>
      </c>
      <c r="C56" s="10" t="str">
        <v>10k</v>
      </c>
      <c r="D56" s="10" t="str">
        <v>Resistor</v>
      </c>
      <c r="E56" s="10" t="str">
        <v>Resistor_SMD:R_0805_2012Metric</v>
      </c>
      <c r="F56" s="10" t="str">
        <v>YAGEO</v>
      </c>
      <c r="G56" s="10" t="str">
        <v>RC0805FR-0710KL</v>
      </c>
      <c r="H56" s="10"/>
      <c r="I56" s="10"/>
      <c r="J56" s="10"/>
      <c r="K56" s="10" t="str">
        <v>Rev-B candidate; MPN pending distributor check</v>
      </c>
      <c r="L56" s="10"/>
      <c r="M56" s="10" t="str">
        <v>Schematic component</v>
      </c>
    </row>
    <row r="57" ht="31" hidden="0" customHeight="1">
      <c r="A57" s="10" t="str">
        <v>R17</v>
      </c>
      <c r="B57" s="10" t="n">
        <v>0</v>
      </c>
      <c r="C57" s="10" t="str">
        <v>4k7</v>
      </c>
      <c r="D57" s="10" t="str">
        <v>Optional SCL pull-up; do not populate</v>
      </c>
      <c r="E57" s="10" t="str">
        <v>Resistor_SMD:R_0805_2012Metric</v>
      </c>
      <c r="F57" s="10" t="str">
        <v>YAGEO</v>
      </c>
      <c r="G57" s="10" t="str">
        <v>RC0805FR-074K7L</v>
      </c>
      <c r="H57" s="10"/>
      <c r="I57" s="10"/>
      <c r="J57" s="10"/>
      <c r="K57" s="10" t="str">
        <v>DNP: host owns pull-up to its switched 3.3 V rail. No local pull-up is allowed with an independently powered host.</v>
      </c>
      <c r="L57" s="10"/>
      <c r="M57" s="10" t="str">
        <v>DNP</v>
      </c>
    </row>
    <row r="58" ht="31" hidden="0" customHeight="1">
      <c r="A58" s="10" t="str">
        <v>R18</v>
      </c>
      <c r="B58" s="10" t="n">
        <v>0</v>
      </c>
      <c r="C58" s="10" t="str">
        <v>4k7</v>
      </c>
      <c r="D58" s="10" t="str">
        <v>Optional SDA pull-up; do not populate</v>
      </c>
      <c r="E58" s="10" t="str">
        <v>Resistor_SMD:R_0805_2012Metric</v>
      </c>
      <c r="F58" s="10" t="str">
        <v>YAGEO</v>
      </c>
      <c r="G58" s="10" t="str">
        <v>RC0805FR-074K7L</v>
      </c>
      <c r="H58" s="10"/>
      <c r="I58" s="10"/>
      <c r="J58" s="10"/>
      <c r="K58" s="10" t="str">
        <v>DNP: host owns pull-up to its switched 3.3 V rail. No local pull-up is allowed with an independently powered host.</v>
      </c>
      <c r="L58" s="10"/>
      <c r="M58" s="10" t="str">
        <v>DNP</v>
      </c>
    </row>
    <row r="59" ht="31" hidden="0" customHeight="1">
      <c r="A59" s="10" t="str">
        <v>R19</v>
      </c>
      <c r="B59" s="10" t="n">
        <v>1</v>
      </c>
      <c r="C59" s="10" t="str">
        <v>1k</v>
      </c>
      <c r="D59" s="10" t="str">
        <v>Pulse-rated</v>
      </c>
      <c r="E59" s="10" t="str">
        <v>Resistor_SMD:R_2512_6332Metric</v>
      </c>
      <c r="F59" s="10" t="str">
        <v>Vishay</v>
      </c>
      <c r="G59" s="10" t="str">
        <v>CRCW25121001FKEGHP</v>
      </c>
      <c r="H59" s="10"/>
      <c r="I59" s="10"/>
      <c r="J59" s="10"/>
      <c r="K59" s="10" t="str">
        <v>Selected: 1k 1% CRCW-HP 2512 reference return. Keep close to U5.</v>
      </c>
      <c r="L59" s="10" t="inlineStr">
        <is>
          <t>Open datasheet</t>
        </is>
      </c>
      <c r="M59" s="10" t="str">
        <v>Schematic component</v>
      </c>
    </row>
    <row r="60" ht="31" hidden="0" customHeight="1">
      <c r="A60" s="10" t="str">
        <v>R20</v>
      </c>
      <c r="B60" s="10" t="n">
        <v>1</v>
      </c>
      <c r="C60" s="10" t="str">
        <v>1</v>
      </c>
      <c r="D60" s="10" t="str">
        <v>Pulse-rated</v>
      </c>
      <c r="E60" s="10" t="str">
        <v>Resistor_SMD:R_2512_6332Metric</v>
      </c>
      <c r="F60" s="10" t="str">
        <v>Vishay</v>
      </c>
      <c r="G60" s="10" t="str">
        <v>CRCW25121R00FKEGHP</v>
      </c>
      <c r="H60" s="10"/>
      <c r="I60" s="10"/>
      <c r="J60" s="10"/>
      <c r="K60" s="10" t="str">
        <v>Selected: 1 ohm 1% CRCW-HP 2512 input damping. Verify pulse energy in layout/bench tests.</v>
      </c>
      <c r="L60" s="10" t="inlineStr">
        <is>
          <t>Open datasheet</t>
        </is>
      </c>
      <c r="M60" s="10" t="str">
        <v>Schematic component</v>
      </c>
    </row>
    <row r="61" ht="31" hidden="0" customHeight="1">
      <c r="A61" s="10" t="str">
        <v>R21</v>
      </c>
      <c r="B61" s="10" t="n">
        <v>1</v>
      </c>
      <c r="C61" s="10" t="str">
        <v>100</v>
      </c>
      <c r="D61" s="10" t="str">
        <v>1%</v>
      </c>
      <c r="E61" s="10" t="str">
        <v>Resistor_SMD:R_0805_2012Metric</v>
      </c>
      <c r="F61" s="10" t="str">
        <v>Yageo</v>
      </c>
      <c r="G61" s="10" t="str">
        <v>RC0805FR-07100RL</v>
      </c>
      <c r="H61" s="10"/>
      <c r="I61" s="10"/>
      <c r="J61" s="10"/>
      <c r="K61" s="10" t="str">
        <v>Selected: VBUS filter with C14. Allow 1 ms settling before valid measurements.</v>
      </c>
      <c r="L61" s="10" t="inlineStr">
        <is>
          <t>Open datasheet</t>
        </is>
      </c>
      <c r="M61" s="10" t="str">
        <v>Schematic component</v>
      </c>
    </row>
    <row r="62" ht="22" hidden="0" customHeight="1">
      <c r="A62" s="10" t="str">
        <v>TP1</v>
      </c>
      <c r="B62" s="10" t="n">
        <v>0</v>
      </c>
      <c r="C62" s="10" t="str">
        <v>TestPoint</v>
      </c>
      <c r="D62" s="10" t="str">
        <v>test point</v>
      </c>
      <c r="E62" s="10" t="str">
        <v>TestPoint:TestPoint_Pad_D1.5mm</v>
      </c>
      <c r="F62" s="10"/>
      <c r="G62" s="10" t="str"/>
      <c r="H62" s="10"/>
      <c r="I62" s="10"/>
      <c r="J62" s="10"/>
      <c r="K62" s="10" t="str">
        <v>Bare copper test pad; no fitted part required</v>
      </c>
      <c r="L62" s="10"/>
      <c r="M62" s="10" t="str">
        <v>Bare PCB feature</v>
      </c>
    </row>
    <row r="63" ht="22" hidden="0" customHeight="1">
      <c r="A63" s="10" t="str">
        <v>TP2</v>
      </c>
      <c r="B63" s="10" t="n">
        <v>0</v>
      </c>
      <c r="C63" s="10" t="str">
        <v>TestPoint</v>
      </c>
      <c r="D63" s="10" t="str">
        <v>test point</v>
      </c>
      <c r="E63" s="10" t="str">
        <v>TestPoint:TestPoint_Pad_D1.5mm</v>
      </c>
      <c r="F63" s="10"/>
      <c r="G63" s="10" t="str"/>
      <c r="H63" s="10"/>
      <c r="I63" s="10"/>
      <c r="J63" s="10"/>
      <c r="K63" s="10" t="str">
        <v>Bare copper test pad; no fitted part required</v>
      </c>
      <c r="L63" s="10"/>
      <c r="M63" s="10" t="str">
        <v>Bare PCB feature</v>
      </c>
    </row>
    <row r="64" ht="22" hidden="0" customHeight="1">
      <c r="A64" s="10" t="str">
        <v>TP3</v>
      </c>
      <c r="B64" s="10" t="n">
        <v>0</v>
      </c>
      <c r="C64" s="10" t="str">
        <v>TestPoint</v>
      </c>
      <c r="D64" s="10" t="str">
        <v>test point</v>
      </c>
      <c r="E64" s="10" t="str">
        <v>TestPoint:TestPoint_Pad_D1.5mm</v>
      </c>
      <c r="F64" s="10"/>
      <c r="G64" s="10" t="str"/>
      <c r="H64" s="10"/>
      <c r="I64" s="10"/>
      <c r="J64" s="10"/>
      <c r="K64" s="10" t="str">
        <v>Bare copper test pad; no fitted part required</v>
      </c>
      <c r="L64" s="10"/>
      <c r="M64" s="10" t="str">
        <v>Bare PCB feature</v>
      </c>
    </row>
    <row r="65" ht="22" hidden="0" customHeight="1">
      <c r="A65" s="10" t="str">
        <v>TP4</v>
      </c>
      <c r="B65" s="10" t="n">
        <v>0</v>
      </c>
      <c r="C65" s="10" t="str">
        <v>TestPoint</v>
      </c>
      <c r="D65" s="10" t="str">
        <v>test point</v>
      </c>
      <c r="E65" s="10" t="str">
        <v>TestPoint:TestPoint_Pad_D1.5mm</v>
      </c>
      <c r="F65" s="10"/>
      <c r="G65" s="10" t="str"/>
      <c r="H65" s="10"/>
      <c r="I65" s="10"/>
      <c r="J65" s="10"/>
      <c r="K65" s="10" t="str">
        <v>Bare copper test pad; no fitted part required</v>
      </c>
      <c r="L65" s="10"/>
      <c r="M65" s="10" t="str">
        <v>Bare PCB feature</v>
      </c>
    </row>
    <row r="66" ht="22" hidden="0" customHeight="1">
      <c r="A66" s="10" t="str">
        <v>TP5</v>
      </c>
      <c r="B66" s="10" t="n">
        <v>0</v>
      </c>
      <c r="C66" s="10" t="str">
        <v>TestPoint</v>
      </c>
      <c r="D66" s="10" t="str">
        <v>test point</v>
      </c>
      <c r="E66" s="10" t="str">
        <v>TestPoint:TestPoint_Pad_D1.5mm</v>
      </c>
      <c r="F66" s="10"/>
      <c r="G66" s="10" t="str"/>
      <c r="H66" s="10"/>
      <c r="I66" s="10"/>
      <c r="J66" s="10"/>
      <c r="K66" s="10" t="str">
        <v>Bare copper test pad; no fitted part required</v>
      </c>
      <c r="L66" s="10"/>
      <c r="M66" s="10" t="str">
        <v>Bare PCB feature</v>
      </c>
    </row>
    <row r="67" ht="22" hidden="0" customHeight="1">
      <c r="A67" s="10" t="str">
        <v>TP6</v>
      </c>
      <c r="B67" s="10" t="n">
        <v>0</v>
      </c>
      <c r="C67" s="10" t="str">
        <v>TestPoint</v>
      </c>
      <c r="D67" s="10" t="str">
        <v>test point</v>
      </c>
      <c r="E67" s="10" t="str">
        <v>TestPoint:TestPoint_Pad_D1.5mm</v>
      </c>
      <c r="F67" s="10"/>
      <c r="G67" s="10" t="str"/>
      <c r="H67" s="10"/>
      <c r="I67" s="10"/>
      <c r="J67" s="10"/>
      <c r="K67" s="10" t="str">
        <v>Bare copper test pad; no fitted part required</v>
      </c>
      <c r="L67" s="10"/>
      <c r="M67" s="10" t="str">
        <v>Bare PCB feature</v>
      </c>
    </row>
    <row r="68" ht="22" hidden="0" customHeight="1">
      <c r="A68" s="10" t="str">
        <v>TP7</v>
      </c>
      <c r="B68" s="10" t="n">
        <v>0</v>
      </c>
      <c r="C68" s="10" t="str">
        <v>TestPoint</v>
      </c>
      <c r="D68" s="10" t="str">
        <v>test point</v>
      </c>
      <c r="E68" s="10" t="str">
        <v>TestPoint:TestPoint_Pad_D1.5mm</v>
      </c>
      <c r="F68" s="10"/>
      <c r="G68" s="10" t="str"/>
      <c r="H68" s="10"/>
      <c r="I68" s="10"/>
      <c r="J68" s="10"/>
      <c r="K68" s="10" t="str">
        <v>Bare copper test pad; no fitted part required</v>
      </c>
      <c r="L68" s="10"/>
      <c r="M68" s="10" t="str">
        <v>Bare PCB feature</v>
      </c>
    </row>
    <row r="69" ht="44" hidden="0" customHeight="1">
      <c r="A69" s="10" t="str">
        <v>U1</v>
      </c>
      <c r="B69" s="10" t="n">
        <v>1</v>
      </c>
      <c r="C69" s="10" t="str">
        <v>LTC4368HMS-1-PBF</v>
      </c>
      <c r="D69" s="10" t="str">
        <v>Approved H-temperature-grade LTC4368-1; pin/function-compatible with LTC4368IMS-1 and rated -40 C to 125 C</v>
      </c>
      <c r="E69" s="10" t="str">
        <v>PDB_Footprints:MS_10-MSOP_ADI</v>
      </c>
      <c r="F69" s="10" t="str">
        <v>Analog Devices</v>
      </c>
      <c r="G69" s="10" t="str">
        <v>LTC4368HMS-1#TRPBF</v>
      </c>
      <c r="H69" s="10"/>
      <c r="I69" s="10"/>
      <c r="J69" s="10"/>
      <c r="K69" s="10" t="str"/>
      <c r="L69" s="10" t="inlineStr">
        <is>
          <t>Open datasheet</t>
        </is>
      </c>
      <c r="M69" s="10" t="str">
        <v>Schematic component</v>
      </c>
    </row>
    <row r="70" ht="22" hidden="0" customHeight="1">
      <c r="A70" s="10" t="str">
        <v>U2</v>
      </c>
      <c r="B70" s="10" t="n">
        <v>1</v>
      </c>
      <c r="C70" s="10" t="str">
        <v>INA228AIDGSR</v>
      </c>
      <c r="D70" s="10"/>
      <c r="E70" s="10" t="str">
        <v>PDB_Footprints:VSSOP10_DGS_TEX</v>
      </c>
      <c r="F70" s="10" t="str">
        <v>Texas Instruments</v>
      </c>
      <c r="G70" s="10" t="str">
        <v>INA228AIDGSR</v>
      </c>
      <c r="H70" s="10"/>
      <c r="I70" s="10"/>
      <c r="J70" s="10"/>
      <c r="K70" s="10" t="str"/>
      <c r="L70" s="10" t="inlineStr">
        <is>
          <t>Open datasheet</t>
        </is>
      </c>
      <c r="M70" s="10" t="str">
        <v>Schematic component</v>
      </c>
    </row>
    <row r="71" ht="44" hidden="0" customHeight="1">
      <c r="A71" s="10" t="str">
        <v>U3</v>
      </c>
      <c r="B71" s="10" t="n">
        <v>1</v>
      </c>
      <c r="C71" s="10" t="str">
        <v>LT3010EMS8E</v>
      </c>
      <c r="D71" s="10" t="str">
        <v>Reverse-protected local 3.3 V supply</v>
      </c>
      <c r="E71" s="10" t="str">
        <v>Package_SO:MSOP-8-1EP_3x3mm_P0.65mm_EP1.68x1.88mm</v>
      </c>
      <c r="F71" s="10" t="str">
        <v>Analog Devices</v>
      </c>
      <c r="G71" s="10" t="str">
        <v>LT3010EMS8E#TRPBF</v>
      </c>
      <c r="H71" s="10"/>
      <c r="I71" s="10"/>
      <c r="J71" s="10"/>
      <c r="K71" s="10" t="str">
        <v>A-P2 engineering draft: reverse-input/current-protected LT3010; R11/R12/C10 set nominal 3.29 V. Verify startup, effective C6 and assembled rail transients.</v>
      </c>
      <c r="L71" s="10" t="inlineStr">
        <is>
          <t>Open datasheet</t>
        </is>
      </c>
      <c r="M71" s="10" t="str">
        <v>Schematic component</v>
      </c>
    </row>
    <row r="72" ht="31" hidden="0" customHeight="1">
      <c r="A72" s="10" t="str">
        <v>U4</v>
      </c>
      <c r="B72" s="10" t="n">
        <v>1</v>
      </c>
      <c r="C72" s="10" t="str">
        <v>74AUP1G07GW</v>
      </c>
      <c r="D72" s="10" t="str">
        <v>Single Buffer Gate, Open Drain, Low-Voltage CMOS</v>
      </c>
      <c r="E72" s="10" t="str">
        <v>Package_TO_SOT_SMD:SOT-353_SC-70-5</v>
      </c>
      <c r="F72" s="10" t="str">
        <v>Nexperia</v>
      </c>
      <c r="G72" s="10" t="str">
        <v>74AUP1G07GW,125</v>
      </c>
      <c r="H72" s="10"/>
      <c r="I72" s="10"/>
      <c r="J72" s="10"/>
      <c r="K72" s="10" t="str"/>
      <c r="L72" s="10" t="inlineStr">
        <is>
          <t>Open datasheet</t>
        </is>
      </c>
      <c r="M72" s="10" t="str">
        <v>Schematic component</v>
      </c>
    </row>
    <row r="73" ht="31" hidden="0" customHeight="1">
      <c r="A73" s="10" t="str">
        <v>U5</v>
      </c>
      <c r="B73" s="10" t="n">
        <v>1</v>
      </c>
      <c r="C73" s="10" t="str">
        <v>LTC4359IMS8</v>
      </c>
      <c r="D73" s="10" t="str">
        <v>Reverse-current blocker</v>
      </c>
      <c r="E73" s="10" t="str">
        <v>Package_SO:MSOP-8_3x3mm_P0.65mm</v>
      </c>
      <c r="F73" s="10" t="str">
        <v>Analog Devices</v>
      </c>
      <c r="G73" s="10" t="str">
        <v>LTC4359IMS8#TRPBF</v>
      </c>
      <c r="H73" s="10"/>
      <c r="I73" s="10"/>
      <c r="J73" s="10"/>
      <c r="K73" s="10" t="str">
        <v>Selected: LTC4359 100 V ideal-diode controller; SHDN tied to IN. VSS return uses R19.</v>
      </c>
      <c r="L73" s="10" t="inlineStr">
        <is>
          <t>Open datasheet</t>
        </is>
      </c>
      <c r="M73" s="10" t="str">
        <v>Schematic component</v>
      </c>
    </row>
    <row r="74" ht="31" hidden="0" customHeight="1">
      <c r="A74" s="10" t="str">
        <v>F1-holder</v>
      </c>
      <c r="B74" s="10" t="n">
        <v>1</v>
      </c>
      <c r="C74" s="10" t="str">
        <v>MINI fuse holder</v>
      </c>
      <c r="D74" s="10" t="str">
        <v>Separate purchased holder for F1</v>
      </c>
      <c r="E74" s="10" t="str">
        <v>Fuse:Fuseholder_Blade_Mini_Keystone_3568</v>
      </c>
      <c r="F74" s="10" t="str">
        <v>Keystone Electronics</v>
      </c>
      <c r="G74" s="10" t="str">
        <v>3568</v>
      </c>
      <c r="H74" s="10"/>
      <c r="I74" s="10"/>
      <c r="J74" s="10"/>
      <c r="K74" s="10" t="str">
        <v>Holder qualification pending</v>
      </c>
      <c r="L74" s="10" t="inlineStr">
        <is>
          <t>Open datasheet</t>
        </is>
      </c>
      <c r="M74" s="10" t="str">
        <v>F1 holder; no additional PCB footprint</v>
      </c>
    </row>
  </sheetData>
  <mergeCells>
    <mergeCell ref="A1:M1"/>
    <mergeCell ref="A2:M2"/>
  </mergeCells>
  <hyperlinks>
    <hyperlink ref="L5" r:id="rIdLink1"/>
    <hyperlink ref="L6" r:id="rIdLink2"/>
    <hyperlink ref="L7" r:id="rIdLink3"/>
    <hyperlink ref="L8" r:id="rIdLink4"/>
    <hyperlink ref="L9" r:id="rIdLink5"/>
    <hyperlink ref="L10" r:id="rIdLink6"/>
    <hyperlink ref="L11" r:id="rIdLink7"/>
    <hyperlink ref="L12" r:id="rIdLink8"/>
    <hyperlink ref="L13" r:id="rIdLink9"/>
    <hyperlink ref="L14" r:id="rIdLink10"/>
    <hyperlink ref="L15" r:id="rIdLink11"/>
    <hyperlink ref="L16" r:id="rIdLink12"/>
    <hyperlink ref="L17" r:id="rIdLink13"/>
    <hyperlink ref="L18" r:id="rIdLink14"/>
    <hyperlink ref="L19" r:id="rIdLink15"/>
    <hyperlink ref="L20" r:id="rIdLink16"/>
    <hyperlink ref="L24" r:id="rIdLink17"/>
    <hyperlink ref="L25" r:id="rIdLink18"/>
    <hyperlink ref="L26" r:id="rIdLink19"/>
    <hyperlink ref="J28" r:id="rIdLink20"/>
    <hyperlink ref="L28" r:id="rIdLink21"/>
    <hyperlink ref="L29" r:id="rIdLink22"/>
    <hyperlink ref="L34" r:id="rIdLink23"/>
    <hyperlink ref="L35" r:id="rIdLink24"/>
    <hyperlink ref="L36" r:id="rIdLink25"/>
    <hyperlink ref="L37" r:id="rIdLink26"/>
    <hyperlink ref="L38" r:id="rIdLink27"/>
    <hyperlink ref="L39" r:id="rIdLink28"/>
    <hyperlink ref="L40" r:id="rIdLink29"/>
    <hyperlink ref="L41" r:id="rIdLink30"/>
    <hyperlink ref="L42" r:id="rIdLink31"/>
    <hyperlink ref="L43" r:id="rIdLink32"/>
    <hyperlink ref="L45" r:id="rIdLink33"/>
    <hyperlink ref="L51" r:id="rIdLink34"/>
    <hyperlink ref="L52" r:id="rIdLink35"/>
    <hyperlink ref="L53" r:id="rIdLink36"/>
    <hyperlink ref="L54" r:id="rIdLink37"/>
    <hyperlink ref="L59" r:id="rIdLink38"/>
    <hyperlink ref="L60" r:id="rIdLink39"/>
    <hyperlink ref="L61" r:id="rIdLink40"/>
    <hyperlink ref="L69" r:id="rIdLink41"/>
    <hyperlink ref="L70" r:id="rIdLink42"/>
    <hyperlink ref="L71" r:id="rIdLink43"/>
    <hyperlink ref="L72" r:id="rIdLink44"/>
    <hyperlink ref="L73" r:id="rIdLink45"/>
    <hyperlink ref="L74" r:id="rIdLink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 zoomScale="90" topLeftCell="A1"/>
  </sheetViews>
  <sheetFormatPr defaultRowHeight="15"/>
  <cols>
    <col min="1" max="1" width="24" hidden="0" customWidth="1"/>
    <col min="2" max="2" width="30" hidden="0" customWidth="1"/>
    <col min="3" max="3" width="32" hidden="0" customWidth="1"/>
    <col min="4" max="4" width="13" hidden="0" customWidth="1"/>
    <col min="5" max="5" width="48" hidden="0" customWidth="1"/>
    <col min="6" max="6" width="19" hidden="0" customWidth="1"/>
  </cols>
  <sheetData>
    <row r="1" ht="22" customHeight="1">
      <c r="A1" s="22" t="str">
        <v>Supplier Prices and Part Selections Still Needed</v>
      </c>
      <c r="B1" s="10"/>
      <c r="C1" s="10"/>
      <c r="D1" s="10"/>
      <c r="E1" s="10"/>
      <c r="F1" s="10"/>
    </row>
    <row r="2" ht="22" customHeight="1">
      <c r="A2" s="10" t="str">
        <v>Blank prices are excluded from the priced subtotal. Search links are placeholders; confirm exact MPN, packaging and quote before ordering.</v>
      </c>
      <c r="B2" s="10"/>
      <c r="C2" s="10"/>
      <c r="D2" s="10"/>
      <c r="E2" s="10"/>
      <c r="F2" s="10"/>
    </row>
    <row r="3" ht="22" customHeight="1" hidden="1">
      <c r="A3" s="10"/>
      <c r="B3" s="10"/>
      <c r="C3" s="10"/>
      <c r="D3" s="10"/>
      <c r="E3" s="10"/>
      <c r="F3" s="10"/>
    </row>
    <row r="4" ht="22" customHeight="1">
      <c r="A4" s="9" t="str">
        <v>Reference</v>
      </c>
      <c r="B4" s="9" t="str">
        <v>Manufacturer P/N</v>
      </c>
      <c r="C4" s="9" t="str">
        <v>Description</v>
      </c>
      <c r="D4" s="9" t="str">
        <v>Budget Unit Cost</v>
      </c>
      <c r="E4" s="9" t="str">
        <v>Missing Input / Action</v>
      </c>
      <c r="F4" s="9" t="str">
        <v>Current Supplier Link</v>
      </c>
    </row>
    <row r="5" ht="32" hidden="0" customHeight="1">
      <c r="A5" s="10" t="str">
        <v>C11, C12, C13, C14, C15, C16</v>
      </c>
      <c r="B5" s="10" t="str">
        <v>B32529C0105J189</v>
      </c>
      <c r="C5" s="10" t="str">
        <v>1u</v>
      </c>
      <c r="D5" s="19"/>
      <c r="E5" s="10" t="str">
        <v>Obtain unit price and confirm exact supplier listing</v>
      </c>
      <c r="F5" s="10" t="str">
        <v>Supplier page</v>
      </c>
    </row>
    <row r="6" ht="22" hidden="0" customHeight="1">
      <c r="A6" s="10" t="str">
        <v>C17</v>
      </c>
      <c r="B6" s="10" t="str">
        <v>TBD</v>
      </c>
      <c r="C6" s="10" t="str">
        <v>470u 35V LOW-ESR</v>
      </c>
      <c r="D6" s="19"/>
      <c r="E6" s="10" t="str">
        <v>Select exact MPN matching schematic footprint and ratings</v>
      </c>
      <c r="F6" s="10" t="str">
        <v>MPN needed</v>
      </c>
    </row>
    <row r="7" ht="22" hidden="0" customHeight="1">
      <c r="A7" s="10" t="str">
        <v>C18</v>
      </c>
      <c r="B7" s="10" t="str">
        <v>TBD</v>
      </c>
      <c r="C7" s="10" t="str">
        <v>1u 50V X7R</v>
      </c>
      <c r="D7" s="19"/>
      <c r="E7" s="10" t="str">
        <v>Select exact MPN matching schematic footprint and ratings</v>
      </c>
      <c r="F7" s="10" t="str">
        <v>MPN needed</v>
      </c>
    </row>
    <row r="8" ht="22" hidden="0" customHeight="1">
      <c r="A8" s="10" t="str">
        <v>C19</v>
      </c>
      <c r="B8" s="10" t="str">
        <v>TBD</v>
      </c>
      <c r="C8" s="10" t="str">
        <v>100n 50V X7R</v>
      </c>
      <c r="D8" s="19"/>
      <c r="E8" s="10" t="str">
        <v>Select exact MPN matching schematic footprint and ratings</v>
      </c>
      <c r="F8" s="10" t="str">
        <v>MPN needed</v>
      </c>
    </row>
    <row r="9" ht="22" hidden="0" customHeight="1">
      <c r="A9" s="10" t="str">
        <v>D3</v>
      </c>
      <c r="B9" s="10" t="str">
        <v>STPST10H100SB-TR</v>
      </c>
      <c r="C9" s="10" t="str">
        <v>STPST10H100SB</v>
      </c>
      <c r="D9" s="19"/>
      <c r="E9" s="10" t="str">
        <v>Obtain unit price and confirm exact supplier listing</v>
      </c>
      <c r="F9" s="10" t="str">
        <v>Search supplier</v>
      </c>
    </row>
    <row r="10" ht="22" hidden="0" customHeight="1">
      <c r="A10" s="10" t="str">
        <v>D5</v>
      </c>
      <c r="B10" s="10" t="str">
        <v>TBD</v>
      </c>
      <c r="C10" s="10" t="str">
        <v>SMBJ24CA</v>
      </c>
      <c r="D10" s="19"/>
      <c r="E10" s="10" t="str">
        <v>Select exact MPN matching schematic footprint and ratings</v>
      </c>
      <c r="F10" s="10" t="str">
        <v>MPN needed</v>
      </c>
    </row>
    <row r="11" ht="32" hidden="0" customHeight="1">
      <c r="A11" s="10" t="str">
        <v>F2</v>
      </c>
      <c r="B11" s="10" t="str">
        <v>3-140-177</v>
      </c>
      <c r="C11" s="10" t="str">
        <v>SCHURTER UHS 100A 3-140-177 PROVISIONAL</v>
      </c>
      <c r="D11" s="19"/>
      <c r="E11" s="10" t="str">
        <v>Obtain unit price and confirm exact supplier listing</v>
      </c>
      <c r="F11" s="10" t="str">
        <v>Search supplier</v>
      </c>
    </row>
    <row r="12" ht="32" hidden="0" customHeight="1">
      <c r="A12" s="10" t="str">
        <v>J1, J3</v>
      </c>
      <c r="B12" s="10" t="str">
        <v>1932588</v>
      </c>
      <c r="C12" s="10" t="str">
        <v>MKDSP 25/2-15.00 PROVISIONAL</v>
      </c>
      <c r="D12" s="19"/>
      <c r="E12" s="10" t="str">
        <v>Obtain unit price and confirm exact supplier listing</v>
      </c>
      <c r="F12" s="10" t="str">
        <v>Search supplier</v>
      </c>
    </row>
    <row r="13" ht="22" hidden="0" customHeight="1">
      <c r="A13" s="10" t="str">
        <v>J4</v>
      </c>
      <c r="B13" s="10" t="str">
        <v>XT60PW-F</v>
      </c>
      <c r="C13" s="10" t="str">
        <v>XT60PW-F</v>
      </c>
      <c r="D13" s="19" t="n">
        <v>1.05</v>
      </c>
      <c r="E13" s="10" t="str">
        <v>Confirm exact supplier product page / quote</v>
      </c>
      <c r="F13" s="10" t="str">
        <v>Search supplier</v>
      </c>
    </row>
    <row r="14" ht="22" hidden="0" customHeight="1">
      <c r="A14" s="10" t="str">
        <v>Q3</v>
      </c>
      <c r="B14" s="10" t="str">
        <v>BSC070N10NS5ATMA1</v>
      </c>
      <c r="C14" s="10" t="str">
        <v>BSC070N10NS5</v>
      </c>
      <c r="D14" s="19"/>
      <c r="E14" s="10" t="str">
        <v>Obtain unit price and confirm exact supplier listing</v>
      </c>
      <c r="F14" s="10" t="str">
        <v>Search supplier</v>
      </c>
    </row>
    <row r="15" ht="22" hidden="0" customHeight="1">
      <c r="A15" s="10" t="str">
        <v>R19</v>
      </c>
      <c r="B15" s="10" t="str">
        <v>CRCW25121001FKEGHP</v>
      </c>
      <c r="C15" s="10" t="str">
        <v>1k</v>
      </c>
      <c r="D15" s="19"/>
      <c r="E15" s="10" t="str">
        <v>Obtain unit price and confirm exact supplier listing</v>
      </c>
      <c r="F15" s="10" t="str">
        <v>Search supplier</v>
      </c>
    </row>
    <row r="16" ht="22" hidden="0" customHeight="1">
      <c r="A16" s="10" t="str">
        <v>R20</v>
      </c>
      <c r="B16" s="10" t="str">
        <v>CRCW25121R00FKEGHP</v>
      </c>
      <c r="C16" s="10" t="str">
        <v>1</v>
      </c>
      <c r="D16" s="19"/>
      <c r="E16" s="10" t="str">
        <v>Obtain unit price and confirm exact supplier listing</v>
      </c>
      <c r="F16" s="10" t="str">
        <v>Search supplier</v>
      </c>
    </row>
    <row r="17" ht="22" hidden="0" customHeight="1">
      <c r="A17" s="10" t="str">
        <v>R21</v>
      </c>
      <c r="B17" s="10" t="str">
        <v>RC0805FR-07100RL</v>
      </c>
      <c r="C17" s="10" t="str">
        <v>100</v>
      </c>
      <c r="D17" s="19"/>
      <c r="E17" s="10" t="str">
        <v>Obtain unit price and confirm exact supplier listing</v>
      </c>
      <c r="F17" s="10" t="str">
        <v>Search supplier</v>
      </c>
    </row>
    <row r="18" ht="22" hidden="0" customHeight="1">
      <c r="A18" s="10" t="str">
        <v>U1</v>
      </c>
      <c r="B18" s="10" t="str">
        <v>LTC4368HMS-1#TRPBF</v>
      </c>
      <c r="C18" s="10" t="str">
        <v>LTC4368HMS-1-PBF</v>
      </c>
      <c r="D18" s="19"/>
      <c r="E18" s="10" t="str">
        <v>Obtain unit price and confirm exact supplier listing</v>
      </c>
      <c r="F18" s="10" t="str">
        <v>Supplier page</v>
      </c>
    </row>
    <row r="19" ht="22" hidden="0" customHeight="1">
      <c r="A19" s="10" t="str">
        <v>U5</v>
      </c>
      <c r="B19" s="10" t="str">
        <v>LTC4359IMS8#TRPBF</v>
      </c>
      <c r="C19" s="10" t="str">
        <v>LTC4359IMS8</v>
      </c>
      <c r="D19" s="19"/>
      <c r="E19" s="10" t="str">
        <v>Obtain unit price and confirm exact supplier listing</v>
      </c>
      <c r="F19" s="10" t="str">
        <v>Search supplier</v>
      </c>
    </row>
  </sheetData>
  <mergeCells>
    <mergeCell ref="A1:F1"/>
    <mergeCell ref="A2:F2"/>
  </mergeCells>
  <hyperlinks>
    <hyperlink ref="F5" r:id="rIdLink1"/>
    <hyperlink ref="F9" r:id="rIdLink2"/>
    <hyperlink ref="F11" r:id="rIdLink3"/>
    <hyperlink ref="F12" r:id="rIdLink4"/>
    <hyperlink ref="F13" r:id="rIdLink5"/>
    <hyperlink ref="F14" r:id="rIdLink6"/>
    <hyperlink ref="F15" r:id="rIdLink7"/>
    <hyperlink ref="F16" r:id="rIdLink8"/>
    <hyperlink ref="F17" r:id="rIdLink9"/>
    <hyperlink ref="F18" r:id="rIdLink10"/>
    <hyperlink ref="F19" r:id="rIdLink11"/>
  </hyperlinks>
  <pageMargins left="0.7" right="0.7" top="0.75" bottom="0.75" header="0.3" footer="0.3"/>
</worksheet>
</file>